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ssumptions" sheetId="1" state="visible" r:id="rId3"/>
    <sheet name="Transit matrix" sheetId="2" state="visible" r:id="rId4"/>
    <sheet name="Arrivals" sheetId="3" state="visible" r:id="rId5"/>
    <sheet name="Detect vs Locate" sheetId="4" state="visible" r:id="rId6"/>
    <sheet name="Paths &amp; Amplitude" sheetId="5" state="visible" r:id="rId7"/>
    <sheet name="Conflicts with ice.lyx" sheetId="6"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<sst xmlns="http://schemas.openxmlformats.org/spreadsheetml/2006/main" count="571" uniqueCount="211">
  <si>
    <t xml:space="preserve">Circumpolar wave timing — inputs</t>
  </si>
  <si>
    <t xml:space="preserve">Blue = input. Every arrival time in this workbook is a formula off these cells. Change a blue cell and the whole book moves. Day 0 is 15 May 2031 UTC.</t>
  </si>
  <si>
    <t xml:space="preserve">Wave physics</t>
  </si>
  <si>
    <t xml:space="preserve">value</t>
  </si>
  <si>
    <t xml:space="preserve">unit</t>
  </si>
  <si>
    <t xml:space="preserve">note</t>
  </si>
  <si>
    <t xml:space="preserve">Deep-water wave speed</t>
  </si>
  <si>
    <t xml:space="preserve">m/s</t>
  </si>
  <si>
    <t xml:space="preserve">sqrt(g*h) at h = 4,000 m; 713 km/h</t>
  </si>
  <si>
    <t xml:space="preserve">Shelf wave speed</t>
  </si>
  <si>
    <t xml:space="preserve">sqrt(g*h) at h = 500 m; inside the embayments</t>
  </si>
  <si>
    <t xml:space="preserve">km per degree of longitude at 65 S</t>
  </si>
  <si>
    <t xml:space="preserve">km/deg</t>
  </si>
  <si>
    <t xml:space="preserve">40,030 * cos(65) / 360</t>
  </si>
  <si>
    <t xml:space="preserve">T0 — Prydz Bay collapse</t>
  </si>
  <si>
    <t xml:space="preserve">GMT</t>
  </si>
  <si>
    <t xml:space="preserve">Fixed by lyx/ice.lyx. 2031-05-15T03:20Z.</t>
  </si>
  <si>
    <t xml:space="preserve">Circumpolar arrival at each shelf</t>
  </si>
  <si>
    <t xml:space="preserve">Shelf</t>
  </si>
  <si>
    <t xml:space="preserve">Branch</t>
  </si>
  <si>
    <t xml:space="preserve">Path (deg / km / h)</t>
  </si>
  <si>
    <t xml:space="preserve">Wave at embayment mouth (GMT)</t>
  </si>
  <si>
    <t xml:space="preserve">Mouth to front (km)</t>
  </si>
  <si>
    <t xml:space="preserve">Speed on that leg (m/s)</t>
  </si>
  <si>
    <t xml:space="preserve">In-embayment leg (h)</t>
  </si>
  <si>
    <t xml:space="preserve">COLLAPSE AT FRONT (GMT)</t>
  </si>
  <si>
    <t xml:space="preserve">The Amundsen is rung twice.</t>
  </si>
  <si>
    <t xml:space="preserve">Prydz Bay / Amery</t>
  </si>
  <si>
    <t xml:space="preserve">—</t>
  </si>
  <si>
    <t xml:space="preserve">source of the wave</t>
  </si>
  <si>
    <t xml:space="preserve">The eastward and westward branches converge on the Amundsen from opposite directions, ~15:00Z and ~15:15Z. Cell D15 carries the first.</t>
  </si>
  <si>
    <t xml:space="preserve">Ross</t>
  </si>
  <si>
    <t xml:space="preserve">eastward</t>
  </si>
  <si>
    <t xml:space="preserve">107 deg, ~5,000 km, ~7.0 h</t>
  </si>
  <si>
    <t xml:space="preserve">Set D15 to 15:15 to run the second. It is the only place on Day 0 where one shelf is hit twice.</t>
  </si>
  <si>
    <t xml:space="preserve">Weddell / Filchner-Ronne</t>
  </si>
  <si>
    <t xml:space="preserve">westward</t>
  </si>
  <si>
    <t xml:space="preserve">123 deg, ~5,800 km, ~8.0 h</t>
  </si>
  <si>
    <t xml:space="preserve">Nalani sees it as two arrivals with the same signature fifteen minutes apart — a signature no single collapse can produce, and the hardest evidence available to anyone on Day 0 that the four events are one mechanism.</t>
  </si>
  <si>
    <t xml:space="preserve">Amundsen (Thwaites / Pine I.)</t>
  </si>
  <si>
    <t xml:space="preserve">both converge</t>
  </si>
  <si>
    <t xml:space="preserve">178 W / 182 E, ~8,400-8,600 km</t>
  </si>
  <si>
    <t xml:space="preserve">The in-embayment leg is the soft number, and it is the one to argue about.</t>
  </si>
  <si>
    <t xml:space="preserve">The companion analysis ran the mouth-to-front leg at deep-water speed. Most of that leg is continental shelf, where sqrt(gh) at 500 m gives about 70 m/s, not 198.</t>
  </si>
  <si>
    <t xml:space="preserve">Set F13 and F14 to 70 and the Ross front moves to roughly 13:54Z, the Weddell front to roughly 16:30Z. A realistic mix — deep water to the shelf break, then shelf — lands between the two.</t>
  </si>
  <si>
    <t xml:space="preserve">Everything on every other sheet recalculates from those cells. Nothing in this workbook is a typed-in result.</t>
  </si>
  <si>
    <t xml:space="preserve">T0 at Prydz Bay is fixed by the manuscript and is not an assumption. Ross, Weddell and Amundsen all are.</t>
  </si>
  <si>
    <t xml:space="preserve">Acoustic transit, ice front to station (minutes)</t>
  </si>
  <si>
    <t xml:space="preserve">Shelf leg at 1,450 m/s to the shelf break, then SOFAR at 1,485 m/s. Blank where the path is blocked. Computed by tools/ims_paths.py.</t>
  </si>
  <si>
    <t xml:space="preserve">Station</t>
  </si>
  <si>
    <t xml:space="preserve">Name</t>
  </si>
  <si>
    <t xml:space="preserve">Kind</t>
  </si>
  <si>
    <t xml:space="preserve">HA01</t>
  </si>
  <si>
    <t xml:space="preserve">Cape Leeuwin, Australia</t>
  </si>
  <si>
    <t xml:space="preserve">hydrophone</t>
  </si>
  <si>
    <t xml:space="preserve">HA02</t>
  </si>
  <si>
    <t xml:space="preserve">Queen Charlotte Is., Canada</t>
  </si>
  <si>
    <t xml:space="preserve">T-phase</t>
  </si>
  <si>
    <t xml:space="preserve">HA03</t>
  </si>
  <si>
    <t xml:space="preserve">Juan Fernandez, Chile</t>
  </si>
  <si>
    <t xml:space="preserve">HA04</t>
  </si>
  <si>
    <t xml:space="preserve">Crozet, France</t>
  </si>
  <si>
    <t xml:space="preserve">HA05</t>
  </si>
  <si>
    <t xml:space="preserve">Guadeloupe, France</t>
  </si>
  <si>
    <t xml:space="preserve">HA06</t>
  </si>
  <si>
    <t xml:space="preserve">Socorro Is., Mexico</t>
  </si>
  <si>
    <t xml:space="preserve">HA07</t>
  </si>
  <si>
    <t xml:space="preserve">Flores, Azores, Portugal</t>
  </si>
  <si>
    <t xml:space="preserve">HA08</t>
  </si>
  <si>
    <t xml:space="preserve">Diego Garcia, BIOT</t>
  </si>
  <si>
    <t xml:space="preserve">HA09</t>
  </si>
  <si>
    <t xml:space="preserve">Tristan da Cunha, UK</t>
  </si>
  <si>
    <t xml:space="preserve">HA10</t>
  </si>
  <si>
    <t xml:space="preserve">Ascension Is., UK</t>
  </si>
  <si>
    <t xml:space="preserve">HA11</t>
  </si>
  <si>
    <t xml:space="preserve">Wake Is., USA</t>
  </si>
  <si>
    <t xml:space="preserve">Blank = the great-circle path is obstructed by bathymetry shallower than 1,000 m. See 'Paths &amp; Amplitude'.</t>
  </si>
  <si>
    <t xml:space="preserve">Signal arrival at each IMS hydroacoustic station, GMT</t>
  </si>
  <si>
    <t xml:space="preserve">Bold = clear path. Plain = marginal. Purple = T-phase station: arrival time only, no bearing. Dash = cannot hear it. All times are 2031-05-15 GMT.</t>
  </si>
  <si>
    <t xml:space="preserve">Wave at mouth</t>
  </si>
  <si>
    <t xml:space="preserve">COLLAPSE</t>
  </si>
  <si>
    <t xml:space="preserve">First detection</t>
  </si>
  <si>
    <t xml:space="preserve">First location</t>
  </si>
  <si>
    <t xml:space="preserve">Blind (min)</t>
  </si>
  <si>
    <t xml:space="preserve">Prydz: first location 04:12Z, and lyx/ice.lyx has HA01 posting at 04:12:07Z. So the manuscript's alert instant is the instant the event becomes LOCATABLE, not the instant it is first heard — Crozet has had it since 03:51Z.</t>
  </si>
  <si>
    <t xml:space="preserve">Every other row on this sheet collides with the manuscript. See the Conflicts sheet.</t>
  </si>
  <si>
    <t xml:space="preserve">Detection, then location — one station can never locate anything</t>
  </si>
  <si>
    <t xml:space="preserve">6 of the 11 stations are hydrophone TRIADS: cross-correlating three elements gives a back-azimuth. A direction, no range.</t>
  </si>
  <si>
    <t xml:space="preserve">5 are T-PHASE stations — seismometers on islands. The wave converts on the island flank, so apparent direction is where the conversion happened, not where the source is. Arrival time only, and the back-azimuth column is blank for them.</t>
  </si>
  <si>
    <t xml:space="preserve">1 hydrophone = a ray.  2 hydrophones, or 1 hydrophone + 1 T-station = located.  Any 3 stations = located, and the origin time falls out.</t>
  </si>
  <si>
    <t xml:space="preserve">Event  /  collapse at the front (GMT)</t>
  </si>
  <si>
    <t xml:space="preserve">Station name</t>
  </si>
  <si>
    <t xml:space="preserve">Back-azimuth (deg)</t>
  </si>
  <si>
    <t xml:space="preserve">Range (km)</t>
  </si>
  <si>
    <t xml:space="preserve">Transit (min)</t>
  </si>
  <si>
    <t xml:space="preserve">Arrival (GMT)</t>
  </si>
  <si>
    <t xml:space="preserve">Status</t>
  </si>
  <si>
    <t xml:space="preserve">DETECTED — bearing only, a ray</t>
  </si>
  <si>
    <t xml:space="preserve">LOCATED — two bearings crossing, plus dT</t>
  </si>
  <si>
    <t xml:space="preserve">confirms; tightens; origin time solved</t>
  </si>
  <si>
    <t xml:space="preserve">confirms; tightens</t>
  </si>
  <si>
    <t xml:space="preserve">DETECTED — one arrival time, nothing</t>
  </si>
  <si>
    <t xml:space="preserve">LOCATED — ray x hyperbola</t>
  </si>
  <si>
    <t xml:space="preserve">Path screen and received amplitude, all 44 station-event pairs</t>
  </si>
  <si>
    <t xml:space="preserve">Screen: great circle sampled every 10 km against Natural Earth 10 m bathymetry. CLEAR = nothing shallower than 1,000 m. MARGINAL = longest obstruction under 150 km, a ridge crest — loss, not extinction. BLOCKED = a real barrier, and the range shown is then a lower bound.</t>
  </si>
  <si>
    <t xml:space="preserve">Amplitude: source SEL assigned by shelf area; TL spherical to 1 km then cylindrical, plus 5e-4 dB/km absorption and 8 dB shelf-coupling excess. Noise floor over a 340 s window is 115 dB re 1 uPa^2 s.</t>
  </si>
  <si>
    <t xml:space="preserve">T-phase stations are seismometers and report ground velocity, not pressure. No source level may be derived from one.</t>
  </si>
  <si>
    <t xml:space="preserve">Event</t>
  </si>
  <si>
    <t xml:space="preserve">Screen</t>
  </si>
  <si>
    <t xml:space="preserve">Received SEL (dB re 1 uPa^2 s)</t>
  </si>
  <si>
    <t xml:space="preserve">Peak pressure (Pa)</t>
  </si>
  <si>
    <t xml:space="preserve">Over noise (dB)</t>
  </si>
  <si>
    <t xml:space="preserve">Worst obstruction</t>
  </si>
  <si>
    <t xml:space="preserve">CLEAR</t>
  </si>
  <si>
    <t xml:space="preserve">BLOCKED</t>
  </si>
  <si>
    <t xml:space="preserve">3720 km; multiple</t>
  </si>
  <si>
    <t xml:space="preserve">6319 km; crosses the Antarctic margin</t>
  </si>
  <si>
    <t xml:space="preserve">5978 km; South American margin</t>
  </si>
  <si>
    <t xml:space="preserve">4598 km; 140-4728 km along the Antarctic coast</t>
  </si>
  <si>
    <t xml:space="preserve">1150 km; 10528-11648 km at 7.1N 12.7W</t>
  </si>
  <si>
    <t xml:space="preserve">429 km; KERGUELEN PLATEAU, 1348-1758 km at 53.4S 72.8E, 200-1000 m</t>
  </si>
  <si>
    <t xml:space="preserve">410 km; 680-1049 km at 66.2S 58.1E, &lt;200 m</t>
  </si>
  <si>
    <t xml:space="preserve">MARGINAL</t>
  </si>
  <si>
    <t xml:space="preserve">20 km sill at 33.4S 0.6W</t>
  </si>
  <si>
    <t xml:space="preserve">1939 km; 310-1859 km at 66.3S 79.5E</t>
  </si>
  <si>
    <t xml:space="preserve">790 km; Balleny Is. / Macquarie Ridge</t>
  </si>
  <si>
    <t xml:space="preserve">60 km sill at 17.9S 149.4W</t>
  </si>
  <si>
    <t xml:space="preserve">3637 km; crosses Antarctica</t>
  </si>
  <si>
    <t xml:space="preserve">3489 km; South American margin</t>
  </si>
  <si>
    <t xml:space="preserve">20 km sill</t>
  </si>
  <si>
    <t xml:space="preserve">6896 km; South American and African margins</t>
  </si>
  <si>
    <t xml:space="preserve">2498 km; crosses Antarctica</t>
  </si>
  <si>
    <t xml:space="preserve">3518 km; crosses Antarctica</t>
  </si>
  <si>
    <t xml:space="preserve">3178 km; crosses Antarctica</t>
  </si>
  <si>
    <t xml:space="preserve">4139 km; crosses Antarctica</t>
  </si>
  <si>
    <t xml:space="preserve">3819 km; multiple</t>
  </si>
  <si>
    <t xml:space="preserve">1886 km; Scotia Arc / South American margin</t>
  </si>
  <si>
    <t xml:space="preserve">10 km sill at 53.5S 45.3E</t>
  </si>
  <si>
    <t xml:space="preserve">5699 km; South American margin</t>
  </si>
  <si>
    <t xml:space="preserve">870 km; Scotia Arc</t>
  </si>
  <si>
    <t xml:space="preserve">360 km; Mid-Atlantic Ridge crest and 55.5S 35.9W</t>
  </si>
  <si>
    <t xml:space="preserve">120 km; sills at 46.8S 51.8E and 53.5S 45.0E</t>
  </si>
  <si>
    <t xml:space="preserve">30 km sill at 56.0S 27.7W</t>
  </si>
  <si>
    <t xml:space="preserve">1130 km; 780-1899 km at 70.6S 56.6W</t>
  </si>
  <si>
    <t xml:space="preserve">4206 km; crosses Antarctica</t>
  </si>
  <si>
    <t xml:space="preserve">30 km; shelf break</t>
  </si>
  <si>
    <t xml:space="preserve">50 km; Amundsen shelf break</t>
  </si>
  <si>
    <t xml:space="preserve">4498 km; crosses Antarctica</t>
  </si>
  <si>
    <t xml:space="preserve">4139 km; South American margin</t>
  </si>
  <si>
    <t xml:space="preserve">6788 km; South American margin</t>
  </si>
  <si>
    <t xml:space="preserve">5077 km; Antarctica and the Kerguelen Plateau</t>
  </si>
  <si>
    <t xml:space="preserve">1897 km; 180-1887 km at 72.0S 103.0W</t>
  </si>
  <si>
    <t xml:space="preserve">2558 km; Antarctic Peninsula and Scotia Arc</t>
  </si>
  <si>
    <t xml:space="preserve">100 km; shelf break and equatorial Pacific sills</t>
  </si>
  <si>
    <t xml:space="preserve">Where these timings collide with the manuscript</t>
  </si>
  <si>
    <t xml:space="preserve">CLAUDE.md: the manuscript is ground truth and a conflict means the outline is stale. Reported, not reconciled. Nothing here has been applied.</t>
  </si>
  <si>
    <t xml:space="preserve">#</t>
  </si>
  <si>
    <t xml:space="preserve">What</t>
  </si>
  <si>
    <t xml:space="preserve">ice.lyx says</t>
  </si>
  <si>
    <t xml:space="preserve">This workbook says</t>
  </si>
  <si>
    <t xml:space="preserve">Size of the move</t>
  </si>
  <si>
    <t xml:space="preserve">Comment</t>
  </si>
  <si>
    <t xml:space="preserve">1</t>
  </si>
  <si>
    <t xml:space="preserve">Order of collapse</t>
  </si>
  <si>
    <t xml:space="preserve">Prydz, Weddell, Amundsen, then Ross (Ross has no origin time anywhere)</t>
  </si>
  <si>
    <t xml:space="preserve">Prydz, Ross, Weddell, Amundsen</t>
  </si>
  <si>
    <t xml:space="preserve">Ross moves from 4th to 2nd</t>
  </si>
  <si>
    <t xml:space="preserve">The circumpolar geometry puts Ross 107 deg east of Prydz and the Weddell 123 deg west, so Ross is rung down first. This is the load-bearing conflict; everything else follows from it.</t>
  </si>
  <si>
    <t xml:space="preserve">2</t>
  </si>
  <si>
    <t xml:space="preserve">Weddell collapse</t>
  </si>
  <si>
    <t xml:space="preserve">10:05:00Z, stated in Edgar's block</t>
  </si>
  <si>
    <t xml:space="preserve">13:09Z on the deep-water leg; ~16:30Z at shelf speed</t>
  </si>
  <si>
    <t xml:space="preserve">+3 h 04 m or more</t>
  </si>
  <si>
    <t xml:space="preserve">Edgar's Crozet notice moves with it.</t>
  </si>
  <si>
    <t xml:space="preserve">3</t>
  </si>
  <si>
    <t xml:space="preserve">Crozet posts the Weddell</t>
  </si>
  <si>
    <t xml:space="preserve">10:51Z</t>
  </si>
  <si>
    <t xml:space="preserve">14:19Z</t>
  </si>
  <si>
    <t xml:space="preserve">+3 h 28 m</t>
  </si>
  <si>
    <t xml:space="preserve">And if the Prydz arrival kills Crozet, Crozet never posts it at all: first location falls to Ascension at 14:36Z.</t>
  </si>
  <si>
    <t xml:space="preserve">4</t>
  </si>
  <si>
    <t xml:space="preserve">Amundsen collapse</t>
  </si>
  <si>
    <t xml:space="preserve">14:50Z, stated in Edgar's block</t>
  </si>
  <si>
    <t xml:space="preserve">15:00Z (first branch) or 15:15Z (second)</t>
  </si>
  <si>
    <t xml:space="preserve">+10 to +25 m</t>
  </si>
  <si>
    <t xml:space="preserve">Small. The Amundsen sits nearly antipodal to Prydz and both branches converge there, which is why it is last either way.</t>
  </si>
  <si>
    <t xml:space="preserve">5</t>
  </si>
  <si>
    <t xml:space="preserve">HA03 posts the Amundsen</t>
  </si>
  <si>
    <t xml:space="preserve">15:44Z</t>
  </si>
  <si>
    <t xml:space="preserve">15:55Z</t>
  </si>
  <si>
    <t xml:space="preserve">+11 m</t>
  </si>
  <si>
    <t xml:space="preserve">Daniel's beepers move from just after 11:45 to just before 12:00 his time.</t>
  </si>
  <si>
    <t xml:space="preserve">6</t>
  </si>
  <si>
    <t xml:space="preserve">PTWC Ross statement</t>
  </si>
  <si>
    <t xml:space="preserve">16:22Z, sea level at Scott Base and three Ross DARTs, no seismic origin</t>
  </si>
  <si>
    <t xml:space="preserve">Ross collapses 11:35Z and is acoustically located 13:37Z</t>
  </si>
  <si>
    <t xml:space="preserve">PTWC is 2 h 45 m late</t>
  </si>
  <si>
    <t xml:space="preserve">Under the new order the Ross event is located BEFORE PTWC reports water moving, which inverts the beat. Either PTWC moves earlier or the Ross front is pushed later by the shelf-speed correction.</t>
  </si>
  <si>
    <t xml:space="preserve">7</t>
  </si>
  <si>
    <t xml:space="preserve">HA01 back-azimuth</t>
  </si>
  <si>
    <t xml:space="preserve">189 deg</t>
  </si>
  <si>
    <t xml:space="preserve">206 deg</t>
  </si>
  <si>
    <t xml:space="preserve">17 deg</t>
  </si>
  <si>
    <t xml:space="preserve">Unchanged from Hydroacoustics.md section 4. 189 points at Wilkes Land, not Prydz Bay.</t>
  </si>
  <si>
    <t xml:space="preserve">8</t>
  </si>
  <si>
    <t xml:space="preserve">HA04 back-azimuth to the Weddell</t>
  </si>
  <si>
    <t xml:space="preserve">209 deg</t>
  </si>
  <si>
    <t xml:space="preserve">210.2 deg</t>
  </si>
  <si>
    <t xml:space="preserve">1.2 deg</t>
  </si>
  <si>
    <t xml:space="preserve">Correct as written. Do not touch it.</t>
  </si>
  <si>
    <t xml:space="preserve">The one to decide first is #1. If Ross is second, S2's whole morning reorders.</t>
  </si>
</sst>
</file>

<file path=xl/styles.xml><?xml version="1.0" encoding="utf-8"?>
<styleSheet xmlns="http://schemas.openxmlformats.org/spreadsheetml/2006/main">
  <numFmts count="8">
    <numFmt numFmtId="164" formatCode="General"/>
    <numFmt numFmtId="165" formatCode="yyyy\-mm\-dd\ hh:mm\Z"/>
    <numFmt numFmtId="166" formatCode="0.00"/>
    <numFmt numFmtId="167" formatCode="0.0"/>
    <numFmt numFmtId="168" formatCode="hh:mm\Z"/>
    <numFmt numFmtId="169" formatCode="0"/>
    <numFmt numFmtId="170" formatCode="#,##0"/>
    <numFmt numFmtId="171" formatCode="\+0;\-0"/>
  </numFmts>
  <fonts count="18">
    <font>
      <sz val="11"/>
      <color theme="1"/>
      <name val="Calibri"/>
      <family val="0"/>
      <charset val="1"/>
    </font>
    <font>
      <sz val="10"/>
      <name val="Arial"/>
      <family val="0"/>
    </font>
    <font>
      <sz val="10"/>
      <name val="Arial"/>
      <family val="0"/>
    </font>
    <font>
      <sz val="10"/>
      <name val="Arial"/>
      <family val="0"/>
    </font>
    <font>
      <b val="true"/>
      <sz val="12"/>
      <color theme="1"/>
      <name val="Arial"/>
      <family val="0"/>
      <charset val="1"/>
    </font>
    <font>
      <i val="true"/>
      <sz val="9"/>
      <color rgb="FF595959"/>
      <name val="Arial"/>
      <family val="0"/>
      <charset val="1"/>
    </font>
    <font>
      <b val="true"/>
      <sz val="10"/>
      <color theme="1"/>
      <name val="Arial"/>
      <family val="0"/>
      <charset val="1"/>
    </font>
    <font>
      <sz val="10"/>
      <color theme="1"/>
      <name val="Arial"/>
      <family val="0"/>
      <charset val="1"/>
    </font>
    <font>
      <sz val="10"/>
      <color rgb="FF0000FF"/>
      <name val="Arial"/>
      <family val="0"/>
      <charset val="1"/>
    </font>
    <font>
      <b val="true"/>
      <sz val="10"/>
      <color rgb="FFFFFFFF"/>
      <name val="Arial"/>
      <family val="0"/>
      <charset val="1"/>
    </font>
    <font>
      <sz val="10"/>
      <color rgb="FFBFBFBF"/>
      <name val="Arial"/>
      <family val="0"/>
      <charset val="1"/>
    </font>
    <font>
      <sz val="10"/>
      <color rgb="FF7030A0"/>
      <name val="Arial"/>
      <family val="0"/>
      <charset val="1"/>
    </font>
    <font>
      <b val="true"/>
      <sz val="10"/>
      <color rgb="FF000000"/>
      <name val="Arial"/>
      <family val="0"/>
      <charset val="1"/>
    </font>
    <font>
      <sz val="10"/>
      <color rgb="FF000000"/>
      <name val="Arial"/>
      <family val="0"/>
      <charset val="1"/>
    </font>
    <font>
      <b val="true"/>
      <sz val="10"/>
      <color rgb="FF7030A0"/>
      <name val="Arial"/>
      <family val="0"/>
      <charset val="1"/>
    </font>
    <font>
      <b val="true"/>
      <sz val="10"/>
      <color rgb="FF1F7A1F"/>
      <name val="Arial"/>
      <family val="0"/>
      <charset val="1"/>
    </font>
    <font>
      <b val="true"/>
      <sz val="10"/>
      <color rgb="FFC00000"/>
      <name val="Arial"/>
      <family val="0"/>
      <charset val="1"/>
    </font>
    <font>
      <b val="true"/>
      <sz val="10"/>
      <color rgb="FFBF8F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2EFDA"/>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6" fillId="3"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7" fontId="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7" fillId="0" borderId="0" xfId="0" applyFont="true" applyBorder="false" applyAlignment="true" applyProtection="false">
      <alignment horizontal="center" vertical="center" textRotation="0" wrapText="false" indent="0" shrinkToFit="false"/>
      <protection locked="true" hidden="false"/>
    </xf>
    <xf numFmtId="168" fontId="6" fillId="3" borderId="0" xfId="0" applyFont="true" applyBorder="true" applyAlignment="true" applyProtection="false">
      <alignment horizontal="center" vertical="center" textRotation="0" wrapText="false" indent="0" shrinkToFit="false"/>
      <protection locked="tru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8" fontId="13" fillId="0" borderId="0" xfId="0" applyFont="true" applyBorder="false" applyAlignment="true" applyProtection="false">
      <alignment horizontal="center" vertical="center" textRotation="0" wrapText="false" indent="0" shrinkToFit="false"/>
      <protection locked="true" hidden="false"/>
    </xf>
    <xf numFmtId="168" fontId="6" fillId="0"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false" applyAlignment="true" applyProtection="false">
      <alignment horizontal="center" vertical="center" textRotation="0" wrapText="false" indent="0" shrinkToFit="false"/>
      <protection locked="true" hidden="false"/>
    </xf>
    <xf numFmtId="168" fontId="11"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7" fontId="7"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center" vertical="center" textRotation="0" wrapText="true" indent="0" shrinkToFit="false"/>
      <protection locked="true" hidden="false"/>
    </xf>
    <xf numFmtId="165" fontId="6"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center" vertical="center"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71" fontId="7"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70" fontId="1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7A1F"/>
      <rgbColor rgb="FF000080"/>
      <rgbColor rgb="FF808000"/>
      <rgbColor rgb="FF800080"/>
      <rgbColor rgb="FF008080"/>
      <rgbColor rgb="FFBFBFBF"/>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15" activeCellId="0" sqref="G15"/>
    </sheetView>
  </sheetViews>
  <sheetFormatPr defaultColWidth="14.433593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30"/>
    <col collapsed="false" customWidth="true" hidden="false" outlineLevel="0" max="4" min="4" style="0" width="22"/>
    <col collapsed="false" customWidth="true" hidden="false" outlineLevel="0" max="6" min="5" style="0" width="16"/>
    <col collapsed="false" customWidth="true" hidden="false" outlineLevel="0" max="7" min="7" style="0" width="15"/>
    <col collapsed="false" customWidth="true" hidden="false" outlineLevel="0" max="8" min="8" style="0" width="22"/>
    <col collapsed="false" customWidth="true" hidden="false" outlineLevel="0" max="9" min="9" style="0" width="8.71"/>
    <col collapsed="false" customWidth="true" hidden="false" outlineLevel="0" max="10" min="10" style="0" width="72"/>
    <col collapsed="false" customWidth="true" hidden="false" outlineLevel="0" max="26" min="11" style="0" width="8.71"/>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t="n">
        <v>198.1</v>
      </c>
      <c r="C5" s="4" t="s">
        <v>7</v>
      </c>
      <c r="D5" s="2" t="s">
        <v>8</v>
      </c>
    </row>
    <row r="6" customFormat="false" ht="15" hidden="false" customHeight="false" outlineLevel="0" collapsed="false">
      <c r="A6" s="4" t="s">
        <v>9</v>
      </c>
      <c r="B6" s="5" t="n">
        <v>70</v>
      </c>
      <c r="C6" s="4" t="s">
        <v>7</v>
      </c>
      <c r="D6" s="2" t="s">
        <v>10</v>
      </c>
    </row>
    <row r="7" customFormat="false" ht="15" hidden="false" customHeight="false" outlineLevel="0" collapsed="false">
      <c r="A7" s="4" t="s">
        <v>11</v>
      </c>
      <c r="B7" s="5" t="n">
        <v>47</v>
      </c>
      <c r="C7" s="4" t="s">
        <v>12</v>
      </c>
      <c r="D7" s="2" t="s">
        <v>13</v>
      </c>
    </row>
    <row r="8" customFormat="false" ht="15" hidden="false" customHeight="false" outlineLevel="0" collapsed="false">
      <c r="A8" s="4" t="s">
        <v>14</v>
      </c>
      <c r="B8" s="6" t="n">
        <v>47983.1388888889</v>
      </c>
      <c r="C8" s="4" t="s">
        <v>15</v>
      </c>
      <c r="D8" s="2" t="s">
        <v>16</v>
      </c>
    </row>
    <row r="10" customFormat="false" ht="15" hidden="false" customHeight="false" outlineLevel="0" collapsed="false">
      <c r="A10" s="3" t="s">
        <v>17</v>
      </c>
    </row>
    <row r="11" customFormat="false" ht="30" hidden="false" customHeight="true" outlineLevel="0" collapsed="false">
      <c r="A11" s="7" t="s">
        <v>18</v>
      </c>
      <c r="B11" s="7" t="s">
        <v>19</v>
      </c>
      <c r="C11" s="7" t="s">
        <v>20</v>
      </c>
      <c r="D11" s="7" t="s">
        <v>21</v>
      </c>
      <c r="E11" s="7" t="s">
        <v>22</v>
      </c>
      <c r="F11" s="7" t="s">
        <v>23</v>
      </c>
      <c r="G11" s="7" t="s">
        <v>24</v>
      </c>
      <c r="H11" s="7" t="s">
        <v>25</v>
      </c>
      <c r="J11" s="3" t="s">
        <v>26</v>
      </c>
    </row>
    <row r="12" customFormat="false" ht="22.05" hidden="false" customHeight="false" outlineLevel="0" collapsed="false">
      <c r="A12" s="4" t="s">
        <v>27</v>
      </c>
      <c r="B12" s="4" t="s">
        <v>28</v>
      </c>
      <c r="C12" s="4" t="s">
        <v>29</v>
      </c>
      <c r="D12" s="8" t="s">
        <v>28</v>
      </c>
      <c r="E12" s="8" t="s">
        <v>28</v>
      </c>
      <c r="F12" s="8" t="s">
        <v>28</v>
      </c>
      <c r="G12" s="8" t="s">
        <v>28</v>
      </c>
      <c r="H12" s="9" t="n">
        <f aca="false">$B$8</f>
        <v>47983.13889</v>
      </c>
      <c r="J12" s="10" t="s">
        <v>30</v>
      </c>
    </row>
    <row r="13" customFormat="false" ht="15" hidden="false" customHeight="false" outlineLevel="0" collapsed="false">
      <c r="A13" s="4" t="s">
        <v>31</v>
      </c>
      <c r="B13" s="4" t="s">
        <v>32</v>
      </c>
      <c r="C13" s="4" t="s">
        <v>33</v>
      </c>
      <c r="D13" s="6" t="n">
        <v>47983.4305555556</v>
      </c>
      <c r="E13" s="5" t="n">
        <v>900</v>
      </c>
      <c r="F13" s="5" t="n">
        <v>110</v>
      </c>
      <c r="G13" s="11" t="n">
        <f aca="false">IF(E13=0,0,E13*1000/F13/3600)</f>
        <v>2.27272727272727</v>
      </c>
      <c r="H13" s="9" t="n">
        <f aca="false">D13+G13/24</f>
        <v>47983.5252525253</v>
      </c>
      <c r="J13" s="10" t="s">
        <v>34</v>
      </c>
    </row>
    <row r="14" customFormat="false" ht="32.35" hidden="false" customHeight="false" outlineLevel="0" collapsed="false">
      <c r="A14" s="4" t="s">
        <v>35</v>
      </c>
      <c r="B14" s="4" t="s">
        <v>36</v>
      </c>
      <c r="C14" s="4" t="s">
        <v>37</v>
      </c>
      <c r="D14" s="6" t="n">
        <v>47983.4722222222</v>
      </c>
      <c r="E14" s="5" t="n">
        <v>1300</v>
      </c>
      <c r="F14" s="5" t="n">
        <v>110</v>
      </c>
      <c r="G14" s="11" t="n">
        <f aca="false">IF(E14=0,0,E14*1000/F14/3600)</f>
        <v>3.28282828282828</v>
      </c>
      <c r="H14" s="9" t="n">
        <f aca="false">D14+G14/24</f>
        <v>47983.609006734</v>
      </c>
      <c r="J14" s="10" t="s">
        <v>38</v>
      </c>
    </row>
    <row r="15" customFormat="false" ht="15" hidden="false" customHeight="false" outlineLevel="0" collapsed="false">
      <c r="A15" s="4" t="s">
        <v>39</v>
      </c>
      <c r="B15" s="4" t="s">
        <v>40</v>
      </c>
      <c r="C15" s="4" t="s">
        <v>41</v>
      </c>
      <c r="D15" s="6" t="n">
        <v>47983.625</v>
      </c>
      <c r="E15" s="5" t="n">
        <v>0</v>
      </c>
      <c r="F15" s="5" t="n">
        <v>110</v>
      </c>
      <c r="G15" s="11" t="n">
        <f aca="false">IF(E15=0,0,E15*1000/F15/3600)</f>
        <v>0</v>
      </c>
      <c r="H15" s="9" t="n">
        <f aca="false">D15+G15/24</f>
        <v>47983.625</v>
      </c>
    </row>
    <row r="17" customFormat="false" ht="15" hidden="false" customHeight="false" outlineLevel="0" collapsed="false">
      <c r="A17" s="3" t="s">
        <v>42</v>
      </c>
    </row>
    <row r="18" customFormat="false" ht="15" hidden="false" customHeight="false" outlineLevel="0" collapsed="false">
      <c r="A18" s="2" t="s">
        <v>43</v>
      </c>
    </row>
    <row r="19" customFormat="false" ht="15" hidden="false" customHeight="false" outlineLevel="0" collapsed="false">
      <c r="A19" s="2" t="s">
        <v>44</v>
      </c>
    </row>
    <row r="20" customFormat="false" ht="15" hidden="false" customHeight="false" outlineLevel="0" collapsed="false">
      <c r="A20" s="2" t="s">
        <v>45</v>
      </c>
    </row>
    <row r="21" customFormat="false" ht="15.75" hidden="false" customHeight="true" outlineLevel="0" collapsed="false">
      <c r="A21" s="2" t="s">
        <v>46</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7" min="4" style="0" width="16"/>
    <col collapsed="false" customWidth="true" hidden="false" outlineLevel="0" max="26" min="8" style="0" width="8.71"/>
  </cols>
  <sheetData>
    <row r="1" customFormat="false" ht="15" hidden="false" customHeight="false" outlineLevel="0" collapsed="false">
      <c r="A1" s="1" t="s">
        <v>47</v>
      </c>
    </row>
    <row r="2" customFormat="false" ht="15" hidden="false" customHeight="false" outlineLevel="0" collapsed="false">
      <c r="A2" s="2" t="s">
        <v>48</v>
      </c>
    </row>
    <row r="4" customFormat="false" ht="30" hidden="false" customHeight="true" outlineLevel="0" collapsed="false">
      <c r="A4" s="7" t="s">
        <v>49</v>
      </c>
      <c r="B4" s="7" t="s">
        <v>50</v>
      </c>
      <c r="C4" s="7" t="s">
        <v>51</v>
      </c>
      <c r="D4" s="7" t="s">
        <v>27</v>
      </c>
      <c r="E4" s="7" t="s">
        <v>31</v>
      </c>
      <c r="F4" s="7" t="s">
        <v>35</v>
      </c>
      <c r="G4" s="7" t="s">
        <v>39</v>
      </c>
    </row>
    <row r="5" customFormat="false" ht="15" hidden="false" customHeight="false" outlineLevel="0" collapsed="false">
      <c r="A5" s="12" t="s">
        <v>52</v>
      </c>
      <c r="B5" s="4" t="s">
        <v>53</v>
      </c>
      <c r="C5" s="13" t="s">
        <v>54</v>
      </c>
      <c r="D5" s="14" t="n">
        <v>52.6</v>
      </c>
      <c r="E5" s="15"/>
      <c r="F5" s="15"/>
      <c r="G5" s="15"/>
    </row>
    <row r="6" customFormat="false" ht="15" hidden="false" customHeight="false" outlineLevel="0" collapsed="false">
      <c r="A6" s="12" t="s">
        <v>55</v>
      </c>
      <c r="B6" s="4" t="s">
        <v>56</v>
      </c>
      <c r="C6" s="16" t="s">
        <v>57</v>
      </c>
      <c r="D6" s="15"/>
      <c r="E6" s="14" t="n">
        <v>169.2</v>
      </c>
      <c r="F6" s="15"/>
      <c r="G6" s="14" t="n">
        <v>161.6</v>
      </c>
    </row>
    <row r="7" customFormat="false" ht="15" hidden="false" customHeight="false" outlineLevel="0" collapsed="false">
      <c r="A7" s="12" t="s">
        <v>58</v>
      </c>
      <c r="B7" s="4" t="s">
        <v>59</v>
      </c>
      <c r="C7" s="13" t="s">
        <v>54</v>
      </c>
      <c r="D7" s="15"/>
      <c r="E7" s="14" t="n">
        <v>84.6</v>
      </c>
      <c r="F7" s="15"/>
      <c r="G7" s="14" t="n">
        <v>55.3</v>
      </c>
    </row>
    <row r="8" customFormat="false" ht="15" hidden="false" customHeight="false" outlineLevel="0" collapsed="false">
      <c r="A8" s="12" t="s">
        <v>60</v>
      </c>
      <c r="B8" s="4" t="s">
        <v>61</v>
      </c>
      <c r="C8" s="13" t="s">
        <v>54</v>
      </c>
      <c r="D8" s="14" t="n">
        <v>31.6</v>
      </c>
      <c r="E8" s="15"/>
      <c r="F8" s="14" t="n">
        <v>70.3</v>
      </c>
      <c r="G8" s="15"/>
    </row>
    <row r="9" customFormat="false" ht="15" hidden="false" customHeight="false" outlineLevel="0" collapsed="false">
      <c r="A9" s="12" t="s">
        <v>62</v>
      </c>
      <c r="B9" s="4" t="s">
        <v>63</v>
      </c>
      <c r="C9" s="16" t="s">
        <v>57</v>
      </c>
      <c r="D9" s="15"/>
      <c r="E9" s="15"/>
      <c r="F9" s="15"/>
      <c r="G9" s="15"/>
    </row>
    <row r="10" customFormat="false" ht="15" hidden="false" customHeight="false" outlineLevel="0" collapsed="false">
      <c r="A10" s="12" t="s">
        <v>64</v>
      </c>
      <c r="B10" s="4" t="s">
        <v>65</v>
      </c>
      <c r="C10" s="16" t="s">
        <v>57</v>
      </c>
      <c r="D10" s="15"/>
      <c r="E10" s="14" t="n">
        <v>134.1</v>
      </c>
      <c r="F10" s="15"/>
      <c r="G10" s="14" t="n">
        <v>117</v>
      </c>
    </row>
    <row r="11" customFormat="false" ht="15" hidden="false" customHeight="false" outlineLevel="0" collapsed="false">
      <c r="A11" s="12" t="s">
        <v>66</v>
      </c>
      <c r="B11" s="4" t="s">
        <v>67</v>
      </c>
      <c r="C11" s="16" t="s">
        <v>57</v>
      </c>
      <c r="D11" s="15"/>
      <c r="E11" s="15"/>
      <c r="F11" s="15"/>
      <c r="G11" s="15"/>
    </row>
    <row r="12" customFormat="false" ht="15" hidden="false" customHeight="false" outlineLevel="0" collapsed="false">
      <c r="A12" s="12" t="s">
        <v>68</v>
      </c>
      <c r="B12" s="4" t="s">
        <v>69</v>
      </c>
      <c r="C12" s="13" t="s">
        <v>54</v>
      </c>
      <c r="D12" s="15"/>
      <c r="E12" s="15"/>
      <c r="F12" s="14" t="n">
        <v>123.3</v>
      </c>
      <c r="G12" s="15"/>
    </row>
    <row r="13" customFormat="false" ht="15" hidden="false" customHeight="false" outlineLevel="0" collapsed="false">
      <c r="A13" s="12" t="s">
        <v>70</v>
      </c>
      <c r="B13" s="4" t="s">
        <v>71</v>
      </c>
      <c r="C13" s="16" t="s">
        <v>57</v>
      </c>
      <c r="D13" s="15"/>
      <c r="E13" s="15"/>
      <c r="F13" s="14" t="n">
        <v>52.6</v>
      </c>
      <c r="G13" s="15"/>
    </row>
    <row r="14" customFormat="false" ht="15" hidden="false" customHeight="false" outlineLevel="0" collapsed="false">
      <c r="A14" s="12" t="s">
        <v>72</v>
      </c>
      <c r="B14" s="4" t="s">
        <v>73</v>
      </c>
      <c r="C14" s="13" t="s">
        <v>54</v>
      </c>
      <c r="D14" s="14" t="n">
        <v>105.8</v>
      </c>
      <c r="E14" s="15"/>
      <c r="F14" s="14" t="n">
        <v>87.6</v>
      </c>
      <c r="G14" s="15"/>
    </row>
    <row r="15" customFormat="false" ht="15" hidden="false" customHeight="false" outlineLevel="0" collapsed="false">
      <c r="A15" s="12" t="s">
        <v>74</v>
      </c>
      <c r="B15" s="4" t="s">
        <v>75</v>
      </c>
      <c r="C15" s="13" t="s">
        <v>54</v>
      </c>
      <c r="D15" s="15"/>
      <c r="E15" s="14" t="n">
        <v>122.1</v>
      </c>
      <c r="F15" s="15"/>
      <c r="G15" s="14" t="n">
        <v>128</v>
      </c>
    </row>
    <row r="17" customFormat="false" ht="15" hidden="false" customHeight="false" outlineLevel="0" collapsed="false">
      <c r="A17" s="2" t="s">
        <v>76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3"/>
    <col collapsed="false" customWidth="true" hidden="false" outlineLevel="0" max="4" min="4" style="0" width="12"/>
    <col collapsed="false" customWidth="true" hidden="false" outlineLevel="0" max="15" min="5" style="0" width="9"/>
    <col collapsed="false" customWidth="true" hidden="false" outlineLevel="0" max="17" min="16" style="0" width="15"/>
    <col collapsed="false" customWidth="true" hidden="false" outlineLevel="0" max="18" min="18" style="0" width="11"/>
    <col collapsed="false" customWidth="true" hidden="false" outlineLevel="0" max="26" min="19" style="0" width="8.71"/>
  </cols>
  <sheetData>
    <row r="1" customFormat="false" ht="15" hidden="false" customHeight="false" outlineLevel="0" collapsed="false">
      <c r="A1" s="1" t="s">
        <v>77</v>
      </c>
    </row>
    <row r="2" customFormat="false" ht="15" hidden="false" customHeight="false" outlineLevel="0" collapsed="false">
      <c r="A2" s="2" t="s">
        <v>78</v>
      </c>
    </row>
    <row r="4" customFormat="false" ht="30" hidden="false" customHeight="true" outlineLevel="0" collapsed="false">
      <c r="A4" s="7" t="s">
        <v>18</v>
      </c>
      <c r="B4" s="7" t="s">
        <v>19</v>
      </c>
      <c r="C4" s="7" t="s">
        <v>79</v>
      </c>
      <c r="D4" s="7" t="s">
        <v>80</v>
      </c>
      <c r="E4" s="7" t="s">
        <v>52</v>
      </c>
      <c r="F4" s="7" t="s">
        <v>55</v>
      </c>
      <c r="G4" s="7" t="s">
        <v>58</v>
      </c>
      <c r="H4" s="7" t="s">
        <v>60</v>
      </c>
      <c r="I4" s="7" t="s">
        <v>62</v>
      </c>
      <c r="J4" s="7" t="s">
        <v>64</v>
      </c>
      <c r="K4" s="7" t="s">
        <v>66</v>
      </c>
      <c r="L4" s="7" t="s">
        <v>68</v>
      </c>
      <c r="M4" s="7" t="s">
        <v>70</v>
      </c>
      <c r="N4" s="7" t="s">
        <v>72</v>
      </c>
      <c r="O4" s="7" t="s">
        <v>74</v>
      </c>
      <c r="P4" s="7" t="s">
        <v>81</v>
      </c>
      <c r="Q4" s="7" t="s">
        <v>82</v>
      </c>
      <c r="R4" s="7" t="s">
        <v>83</v>
      </c>
    </row>
    <row r="5" customFormat="false" ht="15" hidden="false" customHeight="false" outlineLevel="0" collapsed="false">
      <c r="E5" s="17" t="s">
        <v>54</v>
      </c>
      <c r="F5" s="17" t="s">
        <v>57</v>
      </c>
      <c r="G5" s="17" t="s">
        <v>54</v>
      </c>
      <c r="H5" s="17" t="s">
        <v>54</v>
      </c>
      <c r="I5" s="17" t="s">
        <v>57</v>
      </c>
      <c r="J5" s="17" t="s">
        <v>57</v>
      </c>
      <c r="K5" s="17" t="s">
        <v>57</v>
      </c>
      <c r="L5" s="17" t="s">
        <v>54</v>
      </c>
      <c r="M5" s="17" t="s">
        <v>57</v>
      </c>
      <c r="N5" s="17" t="s">
        <v>54</v>
      </c>
      <c r="O5" s="17" t="s">
        <v>54</v>
      </c>
    </row>
    <row r="6" customFormat="false" ht="15" hidden="false" customHeight="false" outlineLevel="0" collapsed="false">
      <c r="A6" s="4" t="str">
        <f aca="false">Assumptions!A12</f>
        <v>Prydz Bay / Amery</v>
      </c>
      <c r="B6" s="4" t="str">
        <f aca="false">Assumptions!B12</f>
        <v>—</v>
      </c>
      <c r="C6" s="18" t="str">
        <f aca="false">Assumptions!D12</f>
        <v>—</v>
      </c>
      <c r="D6" s="19" t="n">
        <f aca="false">Assumptions!$H$12</f>
        <v>47983.13889</v>
      </c>
      <c r="E6" s="20" t="n">
        <f aca="false">$D6+'Transit matrix'!$D$5/1440</f>
        <v>47983.17542</v>
      </c>
      <c r="F6" s="15" t="s">
        <v>28</v>
      </c>
      <c r="G6" s="15" t="s">
        <v>28</v>
      </c>
      <c r="H6" s="20" t="n">
        <f aca="false">$D6+'Transit matrix'!$D$8/1440</f>
        <v>47983.16083</v>
      </c>
      <c r="I6" s="15" t="s">
        <v>28</v>
      </c>
      <c r="J6" s="15" t="s">
        <v>28</v>
      </c>
      <c r="K6" s="15" t="s">
        <v>28</v>
      </c>
      <c r="L6" s="15" t="s">
        <v>28</v>
      </c>
      <c r="M6" s="15" t="s">
        <v>28</v>
      </c>
      <c r="N6" s="21" t="n">
        <f aca="false">$D6+'Transit matrix'!$D$14/1440</f>
        <v>47983.21236</v>
      </c>
      <c r="O6" s="15" t="s">
        <v>28</v>
      </c>
      <c r="P6" s="22" t="n">
        <f aca="false">'Detect vs Locate'!H6</f>
        <v>47983.16083</v>
      </c>
      <c r="Q6" s="22" t="n">
        <f aca="false">'Detect vs Locate'!H7</f>
        <v>47983.17542</v>
      </c>
      <c r="R6" s="23" t="n">
        <f aca="false">(Q6-P6)*1440</f>
        <v>21.00959999835</v>
      </c>
    </row>
    <row r="7" customFormat="false" ht="15" hidden="false" customHeight="false" outlineLevel="0" collapsed="false">
      <c r="A7" s="4" t="str">
        <f aca="false">Assumptions!A13</f>
        <v>Ross</v>
      </c>
      <c r="B7" s="4" t="str">
        <f aca="false">Assumptions!B13</f>
        <v>eastward</v>
      </c>
      <c r="C7" s="18" t="n">
        <f aca="false">Assumptions!D13</f>
        <v>47983.43056</v>
      </c>
      <c r="D7" s="19" t="n">
        <f aca="false">Assumptions!$H$13</f>
        <v>47983.5252525253</v>
      </c>
      <c r="E7" s="15" t="s">
        <v>28</v>
      </c>
      <c r="F7" s="24" t="n">
        <f aca="false">$D7+'Transit matrix'!$E$6/1440</f>
        <v>47983.6427525253</v>
      </c>
      <c r="G7" s="20" t="n">
        <f aca="false">$D7+'Transit matrix'!$E$7/1440</f>
        <v>47983.5840025253</v>
      </c>
      <c r="H7" s="15" t="s">
        <v>28</v>
      </c>
      <c r="I7" s="15" t="s">
        <v>28</v>
      </c>
      <c r="J7" s="24" t="n">
        <f aca="false">$D7+'Transit matrix'!$E$10/1440</f>
        <v>47983.6183775253</v>
      </c>
      <c r="K7" s="15" t="s">
        <v>28</v>
      </c>
      <c r="L7" s="15" t="s">
        <v>28</v>
      </c>
      <c r="M7" s="15" t="s">
        <v>28</v>
      </c>
      <c r="N7" s="15" t="s">
        <v>28</v>
      </c>
      <c r="O7" s="20" t="n">
        <f aca="false">$D7+'Transit matrix'!$E$15/1440</f>
        <v>47983.610044192</v>
      </c>
      <c r="P7" s="22" t="n">
        <f aca="false">'Detect vs Locate'!H10</f>
        <v>47983.5840025253</v>
      </c>
      <c r="Q7" s="22" t="n">
        <f aca="false">'Detect vs Locate'!H11</f>
        <v>47983.610044192</v>
      </c>
      <c r="R7" s="23" t="n">
        <f aca="false">(Q7-P7)*1440</f>
        <v>37.5</v>
      </c>
    </row>
    <row r="8" customFormat="false" ht="15" hidden="false" customHeight="false" outlineLevel="0" collapsed="false">
      <c r="A8" s="4" t="str">
        <f aca="false">Assumptions!A14</f>
        <v>Weddell / Filchner-Ronne</v>
      </c>
      <c r="B8" s="4" t="str">
        <f aca="false">Assumptions!B14</f>
        <v>westward</v>
      </c>
      <c r="C8" s="18" t="n">
        <f aca="false">Assumptions!D14</f>
        <v>47983.47222</v>
      </c>
      <c r="D8" s="19" t="n">
        <f aca="false">Assumptions!$H$14</f>
        <v>47983.609006734</v>
      </c>
      <c r="E8" s="15" t="s">
        <v>28</v>
      </c>
      <c r="F8" s="15" t="s">
        <v>28</v>
      </c>
      <c r="G8" s="15" t="s">
        <v>28</v>
      </c>
      <c r="H8" s="21" t="n">
        <f aca="false">$D8+'Transit matrix'!$F$8/1440</f>
        <v>47983.6578261784</v>
      </c>
      <c r="I8" s="15" t="s">
        <v>28</v>
      </c>
      <c r="J8" s="15" t="s">
        <v>28</v>
      </c>
      <c r="K8" s="15" t="s">
        <v>28</v>
      </c>
      <c r="L8" s="21" t="n">
        <f aca="false">$D8+'Transit matrix'!$F$12/1440</f>
        <v>47983.694631734</v>
      </c>
      <c r="M8" s="25" t="n">
        <f aca="false">$D8+'Transit matrix'!$F$13/1440</f>
        <v>47983.6455345118</v>
      </c>
      <c r="N8" s="21" t="n">
        <f aca="false">$D8+'Transit matrix'!$F$14/1440</f>
        <v>47983.6698400673</v>
      </c>
      <c r="O8" s="15" t="s">
        <v>28</v>
      </c>
      <c r="P8" s="22" t="n">
        <f aca="false">'Detect vs Locate'!H15</f>
        <v>47983.6455345118</v>
      </c>
      <c r="Q8" s="22" t="n">
        <f aca="false">'Detect vs Locate'!H16</f>
        <v>47983.6578261784</v>
      </c>
      <c r="R8" s="23" t="n">
        <f aca="false">(Q8-P8)*1440</f>
        <v>17.7</v>
      </c>
    </row>
    <row r="9" customFormat="false" ht="15" hidden="false" customHeight="false" outlineLevel="0" collapsed="false">
      <c r="A9" s="4" t="str">
        <f aca="false">Assumptions!A15</f>
        <v>Amundsen (Thwaites / Pine I.)</v>
      </c>
      <c r="B9" s="4" t="str">
        <f aca="false">Assumptions!B15</f>
        <v>both converge</v>
      </c>
      <c r="C9" s="18" t="n">
        <f aca="false">Assumptions!D15</f>
        <v>47983.625</v>
      </c>
      <c r="D9" s="19" t="n">
        <f aca="false">Assumptions!$H$15</f>
        <v>47983.625</v>
      </c>
      <c r="E9" s="15" t="s">
        <v>28</v>
      </c>
      <c r="F9" s="24" t="n">
        <f aca="false">$D9+'Transit matrix'!$G$6/1440</f>
        <v>47983.7372222222</v>
      </c>
      <c r="G9" s="21" t="n">
        <f aca="false">$D9+'Transit matrix'!$G$7/1440</f>
        <v>47983.6634027778</v>
      </c>
      <c r="H9" s="15" t="s">
        <v>28</v>
      </c>
      <c r="I9" s="15" t="s">
        <v>28</v>
      </c>
      <c r="J9" s="24" t="n">
        <f aca="false">$D9+'Transit matrix'!$G$10/1440</f>
        <v>47983.70625</v>
      </c>
      <c r="K9" s="15" t="s">
        <v>28</v>
      </c>
      <c r="L9" s="15" t="s">
        <v>28</v>
      </c>
      <c r="M9" s="15" t="s">
        <v>28</v>
      </c>
      <c r="N9" s="15" t="s">
        <v>28</v>
      </c>
      <c r="O9" s="21" t="n">
        <f aca="false">$D9+'Transit matrix'!$G$15/1440</f>
        <v>47983.7138888889</v>
      </c>
      <c r="P9" s="22" t="n">
        <f aca="false">'Detect vs Locate'!H20</f>
        <v>47983.6634027778</v>
      </c>
      <c r="Q9" s="22" t="n">
        <f aca="false">'Detect vs Locate'!H21</f>
        <v>47983.70625</v>
      </c>
      <c r="R9" s="23" t="n">
        <f aca="false">(Q9-P9)*1440</f>
        <v>61.7</v>
      </c>
    </row>
    <row r="11" customFormat="false" ht="15" hidden="false" customHeight="false" outlineLevel="0" collapsed="false">
      <c r="A11" s="3" t="s">
        <v>84</v>
      </c>
    </row>
    <row r="12" customFormat="false" ht="15" hidden="false" customHeight="false" outlineLevel="0" collapsed="false">
      <c r="A12" s="2" t="s">
        <v>85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I1" activeCellId="0" sqref="I1"/>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10"/>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20"/>
    <col collapsed="false" customWidth="true" hidden="false" outlineLevel="0" max="9" min="9" style="0" width="40"/>
    <col collapsed="false" customWidth="true" hidden="false" outlineLevel="0" max="24" min="10" style="0" width="8.71"/>
    <col collapsed="false" customWidth="true" hidden="false" outlineLevel="0" max="16384" min="16383" style="0" width="11.53"/>
  </cols>
  <sheetData>
    <row r="1" customFormat="false" ht="15" hidden="false" customHeight="false" outlineLevel="0" collapsed="false">
      <c r="A1" s="1" t="s">
        <v>86</v>
      </c>
    </row>
    <row r="2" customFormat="false" ht="15" hidden="false" customHeight="false" outlineLevel="0" collapsed="false">
      <c r="A2" s="2" t="s">
        <v>87</v>
      </c>
    </row>
    <row r="3" customFormat="false" ht="15" hidden="false" customHeight="false" outlineLevel="0" collapsed="false">
      <c r="A3" s="2" t="s">
        <v>88</v>
      </c>
    </row>
    <row r="4" customFormat="false" ht="15" hidden="false" customHeight="false" outlineLevel="0" collapsed="false">
      <c r="A4" s="2" t="s">
        <v>89</v>
      </c>
    </row>
    <row r="5" customFormat="false" ht="30" hidden="false" customHeight="true" outlineLevel="0" collapsed="false">
      <c r="A5" s="7" t="s">
        <v>90</v>
      </c>
      <c r="B5" s="7" t="s">
        <v>91</v>
      </c>
      <c r="C5" s="7" t="s">
        <v>49</v>
      </c>
      <c r="D5" s="7" t="s">
        <v>51</v>
      </c>
      <c r="E5" s="7" t="s">
        <v>92</v>
      </c>
      <c r="F5" s="7" t="s">
        <v>93</v>
      </c>
      <c r="G5" s="7" t="s">
        <v>94</v>
      </c>
      <c r="H5" s="7" t="s">
        <v>95</v>
      </c>
      <c r="I5" s="7" t="s">
        <v>96</v>
      </c>
    </row>
    <row r="6" customFormat="false" ht="25.5" hidden="false" customHeight="true" outlineLevel="0" collapsed="false">
      <c r="A6" s="26" t="s">
        <v>27</v>
      </c>
      <c r="B6" s="27" t="s">
        <v>61</v>
      </c>
      <c r="C6" s="26" t="s">
        <v>60</v>
      </c>
      <c r="D6" s="27" t="s">
        <v>54</v>
      </c>
      <c r="E6" s="28" t="n">
        <v>157.5</v>
      </c>
      <c r="F6" s="29" t="n">
        <v>2806</v>
      </c>
      <c r="G6" s="28" t="n">
        <f aca="false">'Transit matrix'!$D$8</f>
        <v>31.6</v>
      </c>
      <c r="H6" s="30" t="n">
        <f aca="false">Arrivals!$H$6</f>
        <v>47983.16083</v>
      </c>
      <c r="I6" s="26" t="s">
        <v>97</v>
      </c>
    </row>
    <row r="7" customFormat="false" ht="25.5" hidden="false" customHeight="true" outlineLevel="0" collapsed="false">
      <c r="A7" s="31" t="n">
        <f aca="false">Assumptions!$H$12</f>
        <v>47983.13889</v>
      </c>
      <c r="B7" s="27" t="s">
        <v>53</v>
      </c>
      <c r="C7" s="26" t="s">
        <v>52</v>
      </c>
      <c r="D7" s="27" t="s">
        <v>54</v>
      </c>
      <c r="E7" s="28" t="n">
        <v>205.7</v>
      </c>
      <c r="F7" s="29" t="n">
        <v>4675</v>
      </c>
      <c r="G7" s="28" t="n">
        <f aca="false">'Transit matrix'!$D$5</f>
        <v>52.6</v>
      </c>
      <c r="H7" s="30" t="n">
        <f aca="false">Arrivals!$E$6</f>
        <v>47983.17542</v>
      </c>
      <c r="I7" s="32" t="s">
        <v>98</v>
      </c>
    </row>
    <row r="8" customFormat="false" ht="25.5" hidden="false" customHeight="true" outlineLevel="0" collapsed="false">
      <c r="A8" s="27"/>
      <c r="B8" s="27" t="s">
        <v>73</v>
      </c>
      <c r="C8" s="26" t="s">
        <v>72</v>
      </c>
      <c r="D8" s="27" t="s">
        <v>54</v>
      </c>
      <c r="E8" s="28" t="n">
        <v>155.2</v>
      </c>
      <c r="F8" s="29" t="n">
        <v>9415</v>
      </c>
      <c r="G8" s="28" t="n">
        <f aca="false">'Transit matrix'!$D$14</f>
        <v>105.8</v>
      </c>
      <c r="H8" s="30" t="n">
        <f aca="false">Arrivals!$N$6</f>
        <v>47983.21236</v>
      </c>
      <c r="I8" s="27" t="s">
        <v>99</v>
      </c>
    </row>
    <row r="10" customFormat="false" ht="25.5" hidden="false" customHeight="true" outlineLevel="0" collapsed="false">
      <c r="A10" s="26" t="s">
        <v>31</v>
      </c>
      <c r="B10" s="27" t="s">
        <v>59</v>
      </c>
      <c r="C10" s="26" t="s">
        <v>58</v>
      </c>
      <c r="D10" s="27" t="s">
        <v>54</v>
      </c>
      <c r="E10" s="28" t="n">
        <v>201</v>
      </c>
      <c r="F10" s="29" t="n">
        <v>7517</v>
      </c>
      <c r="G10" s="28" t="n">
        <f aca="false">'Transit matrix'!$E$7</f>
        <v>84.6</v>
      </c>
      <c r="H10" s="30" t="n">
        <f aca="false">Arrivals!$G$7</f>
        <v>47983.5840025253</v>
      </c>
      <c r="I10" s="26" t="s">
        <v>97</v>
      </c>
    </row>
    <row r="11" customFormat="false" ht="25.5" hidden="false" customHeight="true" outlineLevel="0" collapsed="false">
      <c r="A11" s="31" t="n">
        <f aca="false">Assumptions!$H$13</f>
        <v>47983.5252525253</v>
      </c>
      <c r="B11" s="27" t="s">
        <v>75</v>
      </c>
      <c r="C11" s="26" t="s">
        <v>74</v>
      </c>
      <c r="D11" s="27" t="s">
        <v>54</v>
      </c>
      <c r="E11" s="28" t="n">
        <v>183.6</v>
      </c>
      <c r="F11" s="29" t="n">
        <v>10862</v>
      </c>
      <c r="G11" s="28" t="n">
        <f aca="false">'Transit matrix'!$E$15</f>
        <v>122.1</v>
      </c>
      <c r="H11" s="30" t="n">
        <f aca="false">Arrivals!$O$7</f>
        <v>47983.610044192</v>
      </c>
      <c r="I11" s="32" t="s">
        <v>98</v>
      </c>
    </row>
    <row r="12" customFormat="false" ht="25.5" hidden="false" customHeight="true" outlineLevel="0" collapsed="false">
      <c r="A12" s="27"/>
      <c r="B12" s="27" t="s">
        <v>65</v>
      </c>
      <c r="C12" s="26" t="s">
        <v>64</v>
      </c>
      <c r="D12" s="33" t="s">
        <v>57</v>
      </c>
      <c r="E12" s="33" t="s">
        <v>28</v>
      </c>
      <c r="F12" s="29" t="n">
        <v>11934</v>
      </c>
      <c r="G12" s="28" t="n">
        <f aca="false">'Transit matrix'!$E$10</f>
        <v>134.1</v>
      </c>
      <c r="H12" s="30" t="n">
        <f aca="false">Arrivals!$J$7</f>
        <v>47983.6183775253</v>
      </c>
      <c r="I12" s="27" t="s">
        <v>99</v>
      </c>
    </row>
    <row r="13" customFormat="false" ht="25.5" hidden="false" customHeight="true" outlineLevel="0" collapsed="false">
      <c r="A13" s="27"/>
      <c r="B13" s="27" t="s">
        <v>56</v>
      </c>
      <c r="C13" s="26" t="s">
        <v>55</v>
      </c>
      <c r="D13" s="33" t="s">
        <v>57</v>
      </c>
      <c r="E13" s="33" t="s">
        <v>28</v>
      </c>
      <c r="F13" s="29" t="n">
        <v>15057</v>
      </c>
      <c r="G13" s="28" t="n">
        <f aca="false">'Transit matrix'!$E$6</f>
        <v>169.2</v>
      </c>
      <c r="H13" s="30" t="n">
        <f aca="false">Arrivals!$F$7</f>
        <v>47983.6427525253</v>
      </c>
      <c r="I13" s="27" t="s">
        <v>100</v>
      </c>
    </row>
    <row r="15" customFormat="false" ht="25.5" hidden="false" customHeight="true" outlineLevel="0" collapsed="false">
      <c r="A15" s="26" t="s">
        <v>35</v>
      </c>
      <c r="B15" s="27" t="s">
        <v>71</v>
      </c>
      <c r="C15" s="26" t="s">
        <v>70</v>
      </c>
      <c r="D15" s="33" t="s">
        <v>57</v>
      </c>
      <c r="E15" s="33" t="s">
        <v>28</v>
      </c>
      <c r="F15" s="29" t="n">
        <v>4669</v>
      </c>
      <c r="G15" s="28" t="n">
        <f aca="false">'Transit matrix'!$F$13</f>
        <v>52.6</v>
      </c>
      <c r="H15" s="30" t="n">
        <f aca="false">Arrivals!$M$8</f>
        <v>47983.6455345118</v>
      </c>
      <c r="I15" s="26" t="s">
        <v>101</v>
      </c>
    </row>
    <row r="16" customFormat="false" ht="25.5" hidden="false" customHeight="true" outlineLevel="0" collapsed="false">
      <c r="A16" s="31" t="n">
        <f aca="false">Assumptions!$H$14</f>
        <v>47983.609006734</v>
      </c>
      <c r="B16" s="27" t="s">
        <v>61</v>
      </c>
      <c r="C16" s="26" t="s">
        <v>60</v>
      </c>
      <c r="D16" s="27" t="s">
        <v>54</v>
      </c>
      <c r="E16" s="28" t="n">
        <v>210.2</v>
      </c>
      <c r="F16" s="29" t="n">
        <v>6242</v>
      </c>
      <c r="G16" s="28" t="n">
        <f aca="false">'Transit matrix'!$F$8</f>
        <v>70.3</v>
      </c>
      <c r="H16" s="30" t="n">
        <f aca="false">Arrivals!$H$8</f>
        <v>47983.6578261784</v>
      </c>
      <c r="I16" s="32" t="s">
        <v>102</v>
      </c>
    </row>
    <row r="17" customFormat="false" ht="25.5" hidden="false" customHeight="true" outlineLevel="0" collapsed="false">
      <c r="A17" s="27"/>
      <c r="B17" s="27" t="s">
        <v>73</v>
      </c>
      <c r="C17" s="26" t="s">
        <v>72</v>
      </c>
      <c r="D17" s="27" t="s">
        <v>54</v>
      </c>
      <c r="E17" s="28" t="n">
        <v>189.8</v>
      </c>
      <c r="F17" s="29" t="n">
        <v>7780</v>
      </c>
      <c r="G17" s="28" t="n">
        <f aca="false">'Transit matrix'!$F$14</f>
        <v>87.6</v>
      </c>
      <c r="H17" s="30" t="n">
        <f aca="false">Arrivals!$N$8</f>
        <v>47983.6698400673</v>
      </c>
      <c r="I17" s="27" t="s">
        <v>99</v>
      </c>
    </row>
    <row r="18" customFormat="false" ht="25.5" hidden="false" customHeight="true" outlineLevel="0" collapsed="false">
      <c r="A18" s="27"/>
      <c r="B18" s="27" t="s">
        <v>69</v>
      </c>
      <c r="C18" s="26" t="s">
        <v>68</v>
      </c>
      <c r="D18" s="27" t="s">
        <v>54</v>
      </c>
      <c r="E18" s="28" t="n">
        <v>200.6</v>
      </c>
      <c r="F18" s="29" t="n">
        <v>10964</v>
      </c>
      <c r="G18" s="28" t="n">
        <f aca="false">'Transit matrix'!$F$12</f>
        <v>123.3</v>
      </c>
      <c r="H18" s="30" t="n">
        <f aca="false">Arrivals!$L$8</f>
        <v>47983.694631734</v>
      </c>
      <c r="I18" s="27" t="s">
        <v>100</v>
      </c>
    </row>
    <row r="20" customFormat="false" ht="25.5" hidden="false" customHeight="true" outlineLevel="0" collapsed="false">
      <c r="A20" s="26" t="s">
        <v>39</v>
      </c>
      <c r="B20" s="27" t="s">
        <v>59</v>
      </c>
      <c r="C20" s="26" t="s">
        <v>58</v>
      </c>
      <c r="D20" s="27" t="s">
        <v>54</v>
      </c>
      <c r="E20" s="28" t="n">
        <v>193.7</v>
      </c>
      <c r="F20" s="29" t="n">
        <v>4920</v>
      </c>
      <c r="G20" s="28" t="n">
        <f aca="false">'Transit matrix'!$G$7</f>
        <v>55.3</v>
      </c>
      <c r="H20" s="30" t="n">
        <f aca="false">Arrivals!$G$9</f>
        <v>47983.6634027778</v>
      </c>
      <c r="I20" s="26" t="s">
        <v>97</v>
      </c>
    </row>
    <row r="21" customFormat="false" ht="25.5" hidden="false" customHeight="true" outlineLevel="0" collapsed="false">
      <c r="A21" s="31" t="n">
        <f aca="false">Assumptions!$H$15</f>
        <v>47983.625</v>
      </c>
      <c r="B21" s="27" t="s">
        <v>65</v>
      </c>
      <c r="C21" s="26" t="s">
        <v>64</v>
      </c>
      <c r="D21" s="33" t="s">
        <v>57</v>
      </c>
      <c r="E21" s="33" t="s">
        <v>28</v>
      </c>
      <c r="F21" s="29" t="n">
        <v>10412</v>
      </c>
      <c r="G21" s="28" t="n">
        <f aca="false">'Transit matrix'!$G$10</f>
        <v>117</v>
      </c>
      <c r="H21" s="30" t="n">
        <f aca="false">Arrivals!$J$9</f>
        <v>47983.70625</v>
      </c>
      <c r="I21" s="32" t="s">
        <v>102</v>
      </c>
    </row>
    <row r="22" customFormat="false" ht="25.5" hidden="false" customHeight="true" outlineLevel="0" collapsed="false">
      <c r="A22" s="27"/>
      <c r="B22" s="27" t="s">
        <v>75</v>
      </c>
      <c r="C22" s="26" t="s">
        <v>74</v>
      </c>
      <c r="D22" s="27" t="s">
        <v>54</v>
      </c>
      <c r="E22" s="28" t="n">
        <v>164.1</v>
      </c>
      <c r="F22" s="29" t="n">
        <v>11394</v>
      </c>
      <c r="G22" s="28" t="n">
        <f aca="false">'Transit matrix'!$G$15</f>
        <v>128</v>
      </c>
      <c r="H22" s="30" t="n">
        <f aca="false">Arrivals!$O$9</f>
        <v>47983.7138888889</v>
      </c>
      <c r="I22" s="27" t="s">
        <v>99</v>
      </c>
    </row>
    <row r="23" customFormat="false" ht="25.5" hidden="false" customHeight="true" outlineLevel="0" collapsed="false">
      <c r="A23" s="27"/>
      <c r="B23" s="27" t="s">
        <v>56</v>
      </c>
      <c r="C23" s="26" t="s">
        <v>55</v>
      </c>
      <c r="D23" s="33" t="s">
        <v>57</v>
      </c>
      <c r="E23" s="33" t="s">
        <v>28</v>
      </c>
      <c r="F23" s="29" t="n">
        <v>14390</v>
      </c>
      <c r="G23" s="28" t="n">
        <f aca="false">'Transit matrix'!$G$6</f>
        <v>161.6</v>
      </c>
      <c r="H23" s="30" t="n">
        <f aca="false">Arrivals!$F$9</f>
        <v>47983.7372222222</v>
      </c>
      <c r="I23" s="27" t="s">
        <v>100</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1" right="1" top="0.75" bottom="0.75" header="0.511811023622047" footer="0.511811023622047"/>
  <pageSetup paperSize="1"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28"/>
    <col collapsed="false" customWidth="true" hidden="false" outlineLevel="0" max="4" min="4" style="0" width="12"/>
    <col collapsed="false" customWidth="true" hidden="false" outlineLevel="0" max="5" min="5" style="0" width="11"/>
    <col collapsed="false" customWidth="true" hidden="false" outlineLevel="0" max="7" min="6" style="0" width="12"/>
    <col collapsed="false" customWidth="true" hidden="false" outlineLevel="0" max="8" min="8" style="0" width="13"/>
    <col collapsed="false" customWidth="true" hidden="false" outlineLevel="0" max="9" min="9" style="0" width="15"/>
    <col collapsed="false" customWidth="true" hidden="false" outlineLevel="0" max="10" min="10" style="0" width="13"/>
    <col collapsed="false" customWidth="true" hidden="false" outlineLevel="0" max="11" min="11" style="0" width="12"/>
    <col collapsed="false" customWidth="true" hidden="false" outlineLevel="0" max="12" min="12" style="0" width="58"/>
    <col collapsed="false" customWidth="true" hidden="false" outlineLevel="0" max="26" min="13" style="0" width="8.71"/>
  </cols>
  <sheetData>
    <row r="1" customFormat="false" ht="15" hidden="false" customHeight="false" outlineLevel="0" collapsed="false">
      <c r="A1" s="1" t="s">
        <v>103</v>
      </c>
    </row>
    <row r="2" customFormat="false" ht="83.8" hidden="false" customHeight="false" outlineLevel="0" collapsed="false">
      <c r="A2" s="34" t="s">
        <v>104</v>
      </c>
    </row>
    <row r="3" customFormat="false" ht="63.2" hidden="false" customHeight="false" outlineLevel="0" collapsed="false">
      <c r="A3" s="34" t="s">
        <v>105</v>
      </c>
    </row>
    <row r="4" customFormat="false" ht="42.6" hidden="false" customHeight="false" outlineLevel="0" collapsed="false">
      <c r="A4" s="34" t="s">
        <v>106</v>
      </c>
    </row>
    <row r="6" customFormat="false" ht="37.5" hidden="false" customHeight="true" outlineLevel="0" collapsed="false">
      <c r="A6" s="7" t="s">
        <v>107</v>
      </c>
      <c r="B6" s="7" t="s">
        <v>49</v>
      </c>
      <c r="C6" s="7" t="s">
        <v>50</v>
      </c>
      <c r="D6" s="7" t="s">
        <v>51</v>
      </c>
      <c r="E6" s="7" t="s">
        <v>108</v>
      </c>
      <c r="F6" s="7" t="s">
        <v>93</v>
      </c>
      <c r="G6" s="7" t="s">
        <v>94</v>
      </c>
      <c r="H6" s="7" t="s">
        <v>92</v>
      </c>
      <c r="I6" s="7" t="s">
        <v>109</v>
      </c>
      <c r="J6" s="7" t="s">
        <v>110</v>
      </c>
      <c r="K6" s="7" t="s">
        <v>111</v>
      </c>
      <c r="L6" s="7" t="s">
        <v>112</v>
      </c>
    </row>
    <row r="7" customFormat="false" ht="15" hidden="false" customHeight="false" outlineLevel="0" collapsed="false">
      <c r="A7" s="13" t="s">
        <v>27</v>
      </c>
      <c r="B7" s="12" t="s">
        <v>52</v>
      </c>
      <c r="C7" s="13" t="s">
        <v>53</v>
      </c>
      <c r="D7" s="13" t="s">
        <v>54</v>
      </c>
      <c r="E7" s="35" t="s">
        <v>113</v>
      </c>
      <c r="F7" s="36" t="n">
        <v>4675</v>
      </c>
      <c r="G7" s="37" t="n">
        <v>52.6</v>
      </c>
      <c r="H7" s="37" t="n">
        <v>205.7</v>
      </c>
      <c r="I7" s="37" t="n">
        <v>156</v>
      </c>
      <c r="J7" s="37" t="n">
        <v>13.6</v>
      </c>
      <c r="K7" s="38" t="n">
        <v>41</v>
      </c>
      <c r="L7" s="2"/>
    </row>
    <row r="8" customFormat="false" ht="15" hidden="false" customHeight="false" outlineLevel="0" collapsed="false">
      <c r="A8" s="13" t="s">
        <v>27</v>
      </c>
      <c r="B8" s="12" t="s">
        <v>55</v>
      </c>
      <c r="C8" s="13" t="s">
        <v>56</v>
      </c>
      <c r="D8" s="16" t="s">
        <v>57</v>
      </c>
      <c r="E8" s="39" t="s">
        <v>114</v>
      </c>
      <c r="F8" s="40" t="n">
        <v>18396</v>
      </c>
      <c r="G8" s="41"/>
      <c r="H8" s="41"/>
      <c r="I8" s="41"/>
      <c r="J8" s="41"/>
      <c r="K8" s="41"/>
      <c r="L8" s="2" t="s">
        <v>115</v>
      </c>
    </row>
    <row r="9" customFormat="false" ht="15" hidden="false" customHeight="false" outlineLevel="0" collapsed="false">
      <c r="A9" s="13" t="s">
        <v>27</v>
      </c>
      <c r="B9" s="12" t="s">
        <v>58</v>
      </c>
      <c r="C9" s="13" t="s">
        <v>59</v>
      </c>
      <c r="D9" s="13" t="s">
        <v>54</v>
      </c>
      <c r="E9" s="39" t="s">
        <v>114</v>
      </c>
      <c r="F9" s="40" t="n">
        <v>9056</v>
      </c>
      <c r="G9" s="41"/>
      <c r="H9" s="41"/>
      <c r="I9" s="41"/>
      <c r="J9" s="41"/>
      <c r="K9" s="41"/>
      <c r="L9" s="2" t="s">
        <v>116</v>
      </c>
    </row>
    <row r="10" customFormat="false" ht="15" hidden="false" customHeight="false" outlineLevel="0" collapsed="false">
      <c r="A10" s="13" t="s">
        <v>27</v>
      </c>
      <c r="B10" s="12" t="s">
        <v>60</v>
      </c>
      <c r="C10" s="13" t="s">
        <v>61</v>
      </c>
      <c r="D10" s="13" t="s">
        <v>54</v>
      </c>
      <c r="E10" s="35" t="s">
        <v>113</v>
      </c>
      <c r="F10" s="36" t="n">
        <v>2806</v>
      </c>
      <c r="G10" s="37" t="n">
        <v>31.6</v>
      </c>
      <c r="H10" s="37" t="n">
        <v>157.5</v>
      </c>
      <c r="I10" s="37" t="n">
        <v>159.1</v>
      </c>
      <c r="J10" s="37" t="n">
        <v>19.6</v>
      </c>
      <c r="K10" s="38" t="n">
        <v>44</v>
      </c>
      <c r="L10" s="2"/>
    </row>
    <row r="11" customFormat="false" ht="15" hidden="false" customHeight="false" outlineLevel="0" collapsed="false">
      <c r="A11" s="13" t="s">
        <v>27</v>
      </c>
      <c r="B11" s="12" t="s">
        <v>62</v>
      </c>
      <c r="C11" s="13" t="s">
        <v>63</v>
      </c>
      <c r="D11" s="16" t="s">
        <v>57</v>
      </c>
      <c r="E11" s="39" t="s">
        <v>114</v>
      </c>
      <c r="F11" s="40" t="n">
        <v>13921</v>
      </c>
      <c r="G11" s="41"/>
      <c r="H11" s="41"/>
      <c r="I11" s="41"/>
      <c r="J11" s="41"/>
      <c r="K11" s="41"/>
      <c r="L11" s="2" t="s">
        <v>117</v>
      </c>
    </row>
    <row r="12" customFormat="false" ht="15" hidden="false" customHeight="false" outlineLevel="0" collapsed="false">
      <c r="A12" s="13" t="s">
        <v>27</v>
      </c>
      <c r="B12" s="12" t="s">
        <v>64</v>
      </c>
      <c r="C12" s="13" t="s">
        <v>65</v>
      </c>
      <c r="D12" s="16" t="s">
        <v>57</v>
      </c>
      <c r="E12" s="39" t="s">
        <v>114</v>
      </c>
      <c r="F12" s="40" t="n">
        <v>15140</v>
      </c>
      <c r="G12" s="41"/>
      <c r="H12" s="41"/>
      <c r="I12" s="41"/>
      <c r="J12" s="41"/>
      <c r="K12" s="41"/>
      <c r="L12" s="2" t="s">
        <v>118</v>
      </c>
    </row>
    <row r="13" customFormat="false" ht="15" hidden="false" customHeight="false" outlineLevel="0" collapsed="false">
      <c r="A13" s="13" t="s">
        <v>27</v>
      </c>
      <c r="B13" s="12" t="s">
        <v>66</v>
      </c>
      <c r="C13" s="13" t="s">
        <v>67</v>
      </c>
      <c r="D13" s="16" t="s">
        <v>57</v>
      </c>
      <c r="E13" s="39" t="s">
        <v>114</v>
      </c>
      <c r="F13" s="40" t="n">
        <v>14904</v>
      </c>
      <c r="G13" s="41"/>
      <c r="H13" s="41"/>
      <c r="I13" s="41"/>
      <c r="J13" s="41"/>
      <c r="K13" s="41"/>
      <c r="L13" s="2" t="s">
        <v>119</v>
      </c>
    </row>
    <row r="14" customFormat="false" ht="15" hidden="false" customHeight="false" outlineLevel="0" collapsed="false">
      <c r="A14" s="13" t="s">
        <v>27</v>
      </c>
      <c r="B14" s="12" t="s">
        <v>68</v>
      </c>
      <c r="C14" s="13" t="s">
        <v>69</v>
      </c>
      <c r="D14" s="13" t="s">
        <v>54</v>
      </c>
      <c r="E14" s="39" t="s">
        <v>114</v>
      </c>
      <c r="F14" s="40" t="n">
        <v>6808</v>
      </c>
      <c r="G14" s="41"/>
      <c r="H14" s="41"/>
      <c r="I14" s="41"/>
      <c r="J14" s="41"/>
      <c r="K14" s="41"/>
      <c r="L14" s="2" t="s">
        <v>120</v>
      </c>
    </row>
    <row r="15" customFormat="false" ht="15" hidden="false" customHeight="false" outlineLevel="0" collapsed="false">
      <c r="A15" s="13" t="s">
        <v>27</v>
      </c>
      <c r="B15" s="12" t="s">
        <v>70</v>
      </c>
      <c r="C15" s="13" t="s">
        <v>71</v>
      </c>
      <c r="D15" s="16" t="s">
        <v>57</v>
      </c>
      <c r="E15" s="39" t="s">
        <v>114</v>
      </c>
      <c r="F15" s="40" t="n">
        <v>6433</v>
      </c>
      <c r="G15" s="41"/>
      <c r="H15" s="41"/>
      <c r="I15" s="41"/>
      <c r="J15" s="41"/>
      <c r="K15" s="41"/>
      <c r="L15" s="2" t="s">
        <v>121</v>
      </c>
    </row>
    <row r="16" customFormat="false" ht="15" hidden="false" customHeight="false" outlineLevel="0" collapsed="false">
      <c r="A16" s="13" t="s">
        <v>27</v>
      </c>
      <c r="B16" s="12" t="s">
        <v>72</v>
      </c>
      <c r="C16" s="13" t="s">
        <v>73</v>
      </c>
      <c r="D16" s="13" t="s">
        <v>54</v>
      </c>
      <c r="E16" s="42" t="s">
        <v>122</v>
      </c>
      <c r="F16" s="36" t="n">
        <v>9415</v>
      </c>
      <c r="G16" s="37" t="n">
        <v>105.8</v>
      </c>
      <c r="H16" s="37" t="n">
        <v>155.2</v>
      </c>
      <c r="I16" s="37" t="n">
        <v>150.6</v>
      </c>
      <c r="J16" s="37" t="n">
        <v>7.3</v>
      </c>
      <c r="K16" s="38" t="n">
        <v>36</v>
      </c>
      <c r="L16" s="2" t="s">
        <v>123</v>
      </c>
    </row>
    <row r="17" customFormat="false" ht="15" hidden="false" customHeight="false" outlineLevel="0" collapsed="false">
      <c r="A17" s="13" t="s">
        <v>27</v>
      </c>
      <c r="B17" s="12" t="s">
        <v>74</v>
      </c>
      <c r="C17" s="13" t="s">
        <v>75</v>
      </c>
      <c r="D17" s="13" t="s">
        <v>54</v>
      </c>
      <c r="E17" s="39" t="s">
        <v>114</v>
      </c>
      <c r="F17" s="40" t="n">
        <v>13671</v>
      </c>
      <c r="G17" s="41"/>
      <c r="H17" s="41"/>
      <c r="I17" s="41"/>
      <c r="J17" s="41"/>
      <c r="K17" s="41"/>
      <c r="L17" s="2" t="s">
        <v>124</v>
      </c>
    </row>
    <row r="19" customFormat="false" ht="15" hidden="false" customHeight="false" outlineLevel="0" collapsed="false">
      <c r="A19" s="13" t="s">
        <v>31</v>
      </c>
      <c r="B19" s="12" t="s">
        <v>52</v>
      </c>
      <c r="C19" s="13" t="s">
        <v>53</v>
      </c>
      <c r="D19" s="13" t="s">
        <v>54</v>
      </c>
      <c r="E19" s="39" t="s">
        <v>114</v>
      </c>
      <c r="F19" s="40" t="n">
        <v>6307</v>
      </c>
      <c r="G19" s="41"/>
      <c r="H19" s="41"/>
      <c r="I19" s="41"/>
      <c r="J19" s="41"/>
      <c r="K19" s="41"/>
      <c r="L19" s="2" t="s">
        <v>125</v>
      </c>
    </row>
    <row r="20" customFormat="false" ht="15" hidden="false" customHeight="false" outlineLevel="0" collapsed="false">
      <c r="A20" s="13" t="s">
        <v>31</v>
      </c>
      <c r="B20" s="12" t="s">
        <v>55</v>
      </c>
      <c r="C20" s="13" t="s">
        <v>56</v>
      </c>
      <c r="D20" s="16" t="s">
        <v>57</v>
      </c>
      <c r="E20" s="42" t="s">
        <v>122</v>
      </c>
      <c r="F20" s="36" t="n">
        <v>15057</v>
      </c>
      <c r="G20" s="37" t="n">
        <v>169.2</v>
      </c>
      <c r="H20" s="41"/>
      <c r="I20" s="37" t="n">
        <v>149.7</v>
      </c>
      <c r="J20" s="41"/>
      <c r="K20" s="38" t="n">
        <v>35</v>
      </c>
      <c r="L20" s="2" t="s">
        <v>126</v>
      </c>
    </row>
    <row r="21" customFormat="false" ht="15.75" hidden="false" customHeight="true" outlineLevel="0" collapsed="false">
      <c r="A21" s="13" t="s">
        <v>31</v>
      </c>
      <c r="B21" s="12" t="s">
        <v>58</v>
      </c>
      <c r="C21" s="13" t="s">
        <v>59</v>
      </c>
      <c r="D21" s="13" t="s">
        <v>54</v>
      </c>
      <c r="E21" s="35" t="s">
        <v>113</v>
      </c>
      <c r="F21" s="36" t="n">
        <v>7517</v>
      </c>
      <c r="G21" s="37" t="n">
        <v>84.6</v>
      </c>
      <c r="H21" s="37" t="n">
        <v>201</v>
      </c>
      <c r="I21" s="37" t="n">
        <v>156.5</v>
      </c>
      <c r="J21" s="37" t="n">
        <v>14.5</v>
      </c>
      <c r="K21" s="38" t="n">
        <v>41</v>
      </c>
      <c r="L21" s="2"/>
    </row>
    <row r="22" customFormat="false" ht="15.75" hidden="false" customHeight="true" outlineLevel="0" collapsed="false">
      <c r="A22" s="13" t="s">
        <v>31</v>
      </c>
      <c r="B22" s="12" t="s">
        <v>60</v>
      </c>
      <c r="C22" s="13" t="s">
        <v>61</v>
      </c>
      <c r="D22" s="13" t="s">
        <v>54</v>
      </c>
      <c r="E22" s="39" t="s">
        <v>114</v>
      </c>
      <c r="F22" s="40" t="n">
        <v>7063</v>
      </c>
      <c r="G22" s="41"/>
      <c r="H22" s="41"/>
      <c r="I22" s="41"/>
      <c r="J22" s="41"/>
      <c r="K22" s="41"/>
      <c r="L22" s="2" t="s">
        <v>127</v>
      </c>
    </row>
    <row r="23" customFormat="false" ht="15.75" hidden="false" customHeight="true" outlineLevel="0" collapsed="false">
      <c r="A23" s="13" t="s">
        <v>31</v>
      </c>
      <c r="B23" s="12" t="s">
        <v>62</v>
      </c>
      <c r="C23" s="13" t="s">
        <v>63</v>
      </c>
      <c r="D23" s="16" t="s">
        <v>57</v>
      </c>
      <c r="E23" s="39" t="s">
        <v>114</v>
      </c>
      <c r="F23" s="40" t="n">
        <v>13385</v>
      </c>
      <c r="G23" s="41"/>
      <c r="H23" s="41"/>
      <c r="I23" s="41"/>
      <c r="J23" s="41"/>
      <c r="K23" s="41"/>
      <c r="L23" s="2" t="s">
        <v>128</v>
      </c>
    </row>
    <row r="24" customFormat="false" ht="15.75" hidden="false" customHeight="true" outlineLevel="0" collapsed="false">
      <c r="A24" s="13" t="s">
        <v>31</v>
      </c>
      <c r="B24" s="12" t="s">
        <v>64</v>
      </c>
      <c r="C24" s="13" t="s">
        <v>65</v>
      </c>
      <c r="D24" s="16" t="s">
        <v>57</v>
      </c>
      <c r="E24" s="42" t="s">
        <v>122</v>
      </c>
      <c r="F24" s="36" t="n">
        <v>11934</v>
      </c>
      <c r="G24" s="37" t="n">
        <v>134.1</v>
      </c>
      <c r="H24" s="41"/>
      <c r="I24" s="37" t="n">
        <v>152.3</v>
      </c>
      <c r="J24" s="41"/>
      <c r="K24" s="38" t="n">
        <v>37</v>
      </c>
      <c r="L24" s="2" t="s">
        <v>129</v>
      </c>
    </row>
    <row r="25" customFormat="false" ht="15.75" hidden="false" customHeight="true" outlineLevel="0" collapsed="false">
      <c r="A25" s="13" t="s">
        <v>31</v>
      </c>
      <c r="B25" s="12" t="s">
        <v>66</v>
      </c>
      <c r="C25" s="13" t="s">
        <v>67</v>
      </c>
      <c r="D25" s="16" t="s">
        <v>57</v>
      </c>
      <c r="E25" s="39" t="s">
        <v>114</v>
      </c>
      <c r="F25" s="40" t="n">
        <v>16719</v>
      </c>
      <c r="G25" s="41"/>
      <c r="H25" s="41"/>
      <c r="I25" s="41"/>
      <c r="J25" s="41"/>
      <c r="K25" s="41"/>
      <c r="L25" s="2" t="s">
        <v>130</v>
      </c>
    </row>
    <row r="26" customFormat="false" ht="15.75" hidden="false" customHeight="true" outlineLevel="0" collapsed="false">
      <c r="A26" s="13" t="s">
        <v>31</v>
      </c>
      <c r="B26" s="12" t="s">
        <v>68</v>
      </c>
      <c r="C26" s="13" t="s">
        <v>69</v>
      </c>
      <c r="D26" s="13" t="s">
        <v>54</v>
      </c>
      <c r="E26" s="39" t="s">
        <v>114</v>
      </c>
      <c r="F26" s="40" t="n">
        <v>10640</v>
      </c>
      <c r="G26" s="41"/>
      <c r="H26" s="41"/>
      <c r="I26" s="41"/>
      <c r="J26" s="41"/>
      <c r="K26" s="41"/>
      <c r="L26" s="2" t="s">
        <v>131</v>
      </c>
    </row>
    <row r="27" customFormat="false" ht="15.75" hidden="false" customHeight="true" outlineLevel="0" collapsed="false">
      <c r="A27" s="13" t="s">
        <v>31</v>
      </c>
      <c r="B27" s="12" t="s">
        <v>70</v>
      </c>
      <c r="C27" s="13" t="s">
        <v>71</v>
      </c>
      <c r="D27" s="16" t="s">
        <v>57</v>
      </c>
      <c r="E27" s="39" t="s">
        <v>114</v>
      </c>
      <c r="F27" s="40" t="n">
        <v>8614</v>
      </c>
      <c r="G27" s="41"/>
      <c r="H27" s="41"/>
      <c r="I27" s="41"/>
      <c r="J27" s="41"/>
      <c r="K27" s="41"/>
      <c r="L27" s="2" t="s">
        <v>132</v>
      </c>
    </row>
    <row r="28" customFormat="false" ht="15.75" hidden="false" customHeight="true" outlineLevel="0" collapsed="false">
      <c r="A28" s="13" t="s">
        <v>31</v>
      </c>
      <c r="B28" s="12" t="s">
        <v>72</v>
      </c>
      <c r="C28" s="13" t="s">
        <v>73</v>
      </c>
      <c r="D28" s="13" t="s">
        <v>54</v>
      </c>
      <c r="E28" s="39" t="s">
        <v>114</v>
      </c>
      <c r="F28" s="40" t="n">
        <v>11820</v>
      </c>
      <c r="G28" s="41"/>
      <c r="H28" s="41"/>
      <c r="I28" s="41"/>
      <c r="J28" s="41"/>
      <c r="K28" s="41"/>
      <c r="L28" s="2" t="s">
        <v>133</v>
      </c>
    </row>
    <row r="29" customFormat="false" ht="15.75" hidden="false" customHeight="true" outlineLevel="0" collapsed="false">
      <c r="A29" s="13" t="s">
        <v>31</v>
      </c>
      <c r="B29" s="12" t="s">
        <v>74</v>
      </c>
      <c r="C29" s="13" t="s">
        <v>75</v>
      </c>
      <c r="D29" s="13" t="s">
        <v>54</v>
      </c>
      <c r="E29" s="35" t="s">
        <v>113</v>
      </c>
      <c r="F29" s="36" t="n">
        <v>10862</v>
      </c>
      <c r="G29" s="37" t="n">
        <v>122.1</v>
      </c>
      <c r="H29" s="37" t="n">
        <v>183.6</v>
      </c>
      <c r="I29" s="37" t="n">
        <v>153.2</v>
      </c>
      <c r="J29" s="37" t="n">
        <v>9.9</v>
      </c>
      <c r="K29" s="38" t="n">
        <v>38</v>
      </c>
      <c r="L29" s="2"/>
    </row>
    <row r="30" customFormat="false" ht="15.75" hidden="false" customHeight="true" outlineLevel="0" collapsed="false"/>
    <row r="31" customFormat="false" ht="15.75" hidden="false" customHeight="true" outlineLevel="0" collapsed="false">
      <c r="A31" s="13" t="s">
        <v>35</v>
      </c>
      <c r="B31" s="12" t="s">
        <v>52</v>
      </c>
      <c r="C31" s="13" t="s">
        <v>53</v>
      </c>
      <c r="D31" s="13" t="s">
        <v>54</v>
      </c>
      <c r="E31" s="39" t="s">
        <v>114</v>
      </c>
      <c r="F31" s="40" t="n">
        <v>9221</v>
      </c>
      <c r="G31" s="41"/>
      <c r="H31" s="41"/>
      <c r="I31" s="41"/>
      <c r="J31" s="41"/>
      <c r="K31" s="41"/>
      <c r="L31" s="2" t="s">
        <v>134</v>
      </c>
    </row>
    <row r="32" customFormat="false" ht="15.75" hidden="false" customHeight="true" outlineLevel="0" collapsed="false">
      <c r="A32" s="13" t="s">
        <v>35</v>
      </c>
      <c r="B32" s="12" t="s">
        <v>55</v>
      </c>
      <c r="C32" s="13" t="s">
        <v>56</v>
      </c>
      <c r="D32" s="16" t="s">
        <v>57</v>
      </c>
      <c r="E32" s="39" t="s">
        <v>114</v>
      </c>
      <c r="F32" s="40" t="n">
        <v>16399</v>
      </c>
      <c r="G32" s="41"/>
      <c r="H32" s="41"/>
      <c r="I32" s="41"/>
      <c r="J32" s="41"/>
      <c r="K32" s="41"/>
      <c r="L32" s="2" t="s">
        <v>135</v>
      </c>
    </row>
    <row r="33" customFormat="false" ht="15.75" hidden="false" customHeight="true" outlineLevel="0" collapsed="false">
      <c r="A33" s="13" t="s">
        <v>35</v>
      </c>
      <c r="B33" s="12" t="s">
        <v>58</v>
      </c>
      <c r="C33" s="13" t="s">
        <v>59</v>
      </c>
      <c r="D33" s="13" t="s">
        <v>54</v>
      </c>
      <c r="E33" s="39" t="s">
        <v>114</v>
      </c>
      <c r="F33" s="40" t="n">
        <v>5483</v>
      </c>
      <c r="G33" s="41"/>
      <c r="H33" s="41"/>
      <c r="I33" s="41"/>
      <c r="J33" s="41"/>
      <c r="K33" s="41"/>
      <c r="L33" s="2" t="s">
        <v>136</v>
      </c>
    </row>
    <row r="34" customFormat="false" ht="15.75" hidden="false" customHeight="true" outlineLevel="0" collapsed="false">
      <c r="A34" s="13" t="s">
        <v>35</v>
      </c>
      <c r="B34" s="12" t="s">
        <v>60</v>
      </c>
      <c r="C34" s="13" t="s">
        <v>61</v>
      </c>
      <c r="D34" s="13" t="s">
        <v>54</v>
      </c>
      <c r="E34" s="42" t="s">
        <v>122</v>
      </c>
      <c r="F34" s="36" t="n">
        <v>6242</v>
      </c>
      <c r="G34" s="37" t="n">
        <v>70.3</v>
      </c>
      <c r="H34" s="37" t="n">
        <v>210.2</v>
      </c>
      <c r="I34" s="37" t="n">
        <v>156.9</v>
      </c>
      <c r="J34" s="37" t="n">
        <v>15.2</v>
      </c>
      <c r="K34" s="38" t="n">
        <v>42</v>
      </c>
      <c r="L34" s="2" t="s">
        <v>137</v>
      </c>
    </row>
    <row r="35" customFormat="false" ht="15.75" hidden="false" customHeight="true" outlineLevel="0" collapsed="false">
      <c r="A35" s="13" t="s">
        <v>35</v>
      </c>
      <c r="B35" s="12" t="s">
        <v>62</v>
      </c>
      <c r="C35" s="13" t="s">
        <v>63</v>
      </c>
      <c r="D35" s="16" t="s">
        <v>57</v>
      </c>
      <c r="E35" s="39" t="s">
        <v>114</v>
      </c>
      <c r="F35" s="40" t="n">
        <v>10440</v>
      </c>
      <c r="G35" s="41"/>
      <c r="H35" s="41"/>
      <c r="I35" s="41"/>
      <c r="J35" s="41"/>
      <c r="K35" s="41"/>
      <c r="L35" s="2" t="s">
        <v>138</v>
      </c>
    </row>
    <row r="36" customFormat="false" ht="15.75" hidden="false" customHeight="true" outlineLevel="0" collapsed="false">
      <c r="A36" s="13" t="s">
        <v>35</v>
      </c>
      <c r="B36" s="12" t="s">
        <v>64</v>
      </c>
      <c r="C36" s="13" t="s">
        <v>65</v>
      </c>
      <c r="D36" s="16" t="s">
        <v>57</v>
      </c>
      <c r="E36" s="39" t="s">
        <v>114</v>
      </c>
      <c r="F36" s="40" t="n">
        <v>12127</v>
      </c>
      <c r="G36" s="41"/>
      <c r="H36" s="41"/>
      <c r="I36" s="41"/>
      <c r="J36" s="41"/>
      <c r="K36" s="41"/>
      <c r="L36" s="2" t="s">
        <v>139</v>
      </c>
    </row>
    <row r="37" customFormat="false" ht="15.75" hidden="false" customHeight="true" outlineLevel="0" collapsed="false">
      <c r="A37" s="13" t="s">
        <v>35</v>
      </c>
      <c r="B37" s="12" t="s">
        <v>66</v>
      </c>
      <c r="C37" s="13" t="s">
        <v>67</v>
      </c>
      <c r="D37" s="16" t="s">
        <v>57</v>
      </c>
      <c r="E37" s="39" t="s">
        <v>114</v>
      </c>
      <c r="F37" s="40" t="n">
        <v>12838</v>
      </c>
      <c r="G37" s="41"/>
      <c r="H37" s="41"/>
      <c r="I37" s="41"/>
      <c r="J37" s="41"/>
      <c r="K37" s="41"/>
      <c r="L37" s="2" t="s">
        <v>140</v>
      </c>
    </row>
    <row r="38" customFormat="false" ht="15.75" hidden="false" customHeight="true" outlineLevel="0" collapsed="false">
      <c r="A38" s="13" t="s">
        <v>35</v>
      </c>
      <c r="B38" s="12" t="s">
        <v>68</v>
      </c>
      <c r="C38" s="13" t="s">
        <v>69</v>
      </c>
      <c r="D38" s="13" t="s">
        <v>54</v>
      </c>
      <c r="E38" s="42" t="s">
        <v>122</v>
      </c>
      <c r="F38" s="36" t="n">
        <v>10964</v>
      </c>
      <c r="G38" s="37" t="n">
        <v>123.3</v>
      </c>
      <c r="H38" s="37" t="n">
        <v>200.6</v>
      </c>
      <c r="I38" s="37" t="n">
        <v>152.1</v>
      </c>
      <c r="J38" s="37" t="n">
        <v>8.8</v>
      </c>
      <c r="K38" s="38" t="n">
        <v>37</v>
      </c>
      <c r="L38" s="2" t="s">
        <v>141</v>
      </c>
    </row>
    <row r="39" customFormat="false" ht="15.75" hidden="false" customHeight="true" outlineLevel="0" collapsed="false">
      <c r="A39" s="13" t="s">
        <v>35</v>
      </c>
      <c r="B39" s="12" t="s">
        <v>70</v>
      </c>
      <c r="C39" s="13" t="s">
        <v>71</v>
      </c>
      <c r="D39" s="16" t="s">
        <v>57</v>
      </c>
      <c r="E39" s="35" t="s">
        <v>113</v>
      </c>
      <c r="F39" s="36" t="n">
        <v>4669</v>
      </c>
      <c r="G39" s="37" t="n">
        <v>52.6</v>
      </c>
      <c r="H39" s="41"/>
      <c r="I39" s="37" t="n">
        <v>159</v>
      </c>
      <c r="J39" s="41"/>
      <c r="K39" s="38" t="n">
        <v>44</v>
      </c>
      <c r="L39" s="2"/>
    </row>
    <row r="40" customFormat="false" ht="15.75" hidden="false" customHeight="true" outlineLevel="0" collapsed="false">
      <c r="A40" s="13" t="s">
        <v>35</v>
      </c>
      <c r="B40" s="12" t="s">
        <v>72</v>
      </c>
      <c r="C40" s="13" t="s">
        <v>73</v>
      </c>
      <c r="D40" s="13" t="s">
        <v>54</v>
      </c>
      <c r="E40" s="42" t="s">
        <v>122</v>
      </c>
      <c r="F40" s="36" t="n">
        <v>7780</v>
      </c>
      <c r="G40" s="37" t="n">
        <v>87.6</v>
      </c>
      <c r="H40" s="37" t="n">
        <v>189.8</v>
      </c>
      <c r="I40" s="37" t="n">
        <v>155.2</v>
      </c>
      <c r="J40" s="37" t="n">
        <v>12.5</v>
      </c>
      <c r="K40" s="38" t="n">
        <v>40</v>
      </c>
      <c r="L40" s="2" t="s">
        <v>142</v>
      </c>
    </row>
    <row r="41" customFormat="false" ht="15.75" hidden="false" customHeight="true" outlineLevel="0" collapsed="false">
      <c r="A41" s="13" t="s">
        <v>35</v>
      </c>
      <c r="B41" s="12" t="s">
        <v>74</v>
      </c>
      <c r="C41" s="13" t="s">
        <v>75</v>
      </c>
      <c r="D41" s="13" t="s">
        <v>54</v>
      </c>
      <c r="E41" s="39" t="s">
        <v>114</v>
      </c>
      <c r="F41" s="40" t="n">
        <v>14426</v>
      </c>
      <c r="G41" s="41"/>
      <c r="H41" s="41"/>
      <c r="I41" s="41"/>
      <c r="J41" s="41"/>
      <c r="K41" s="41"/>
      <c r="L41" s="2" t="s">
        <v>143</v>
      </c>
    </row>
    <row r="42" customFormat="false" ht="15.75" hidden="false" customHeight="true" outlineLevel="0" collapsed="false"/>
    <row r="43" customFormat="false" ht="15.75" hidden="false" customHeight="true" outlineLevel="0" collapsed="false">
      <c r="A43" s="13" t="s">
        <v>39</v>
      </c>
      <c r="B43" s="12" t="s">
        <v>52</v>
      </c>
      <c r="C43" s="13" t="s">
        <v>53</v>
      </c>
      <c r="D43" s="13" t="s">
        <v>54</v>
      </c>
      <c r="E43" s="39" t="s">
        <v>114</v>
      </c>
      <c r="F43" s="40" t="n">
        <v>8112</v>
      </c>
      <c r="G43" s="41"/>
      <c r="H43" s="41"/>
      <c r="I43" s="41"/>
      <c r="J43" s="41"/>
      <c r="K43" s="41"/>
      <c r="L43" s="2" t="s">
        <v>144</v>
      </c>
    </row>
    <row r="44" customFormat="false" ht="15.75" hidden="false" customHeight="true" outlineLevel="0" collapsed="false">
      <c r="A44" s="13" t="s">
        <v>39</v>
      </c>
      <c r="B44" s="12" t="s">
        <v>55</v>
      </c>
      <c r="C44" s="13" t="s">
        <v>56</v>
      </c>
      <c r="D44" s="16" t="s">
        <v>57</v>
      </c>
      <c r="E44" s="42" t="s">
        <v>122</v>
      </c>
      <c r="F44" s="36" t="n">
        <v>14390</v>
      </c>
      <c r="G44" s="37" t="n">
        <v>161.6</v>
      </c>
      <c r="H44" s="41"/>
      <c r="I44" s="37" t="n">
        <v>139.2</v>
      </c>
      <c r="J44" s="41"/>
      <c r="K44" s="38" t="n">
        <v>24</v>
      </c>
      <c r="L44" s="2" t="s">
        <v>145</v>
      </c>
    </row>
    <row r="45" customFormat="false" ht="15.75" hidden="false" customHeight="true" outlineLevel="0" collapsed="false">
      <c r="A45" s="13" t="s">
        <v>39</v>
      </c>
      <c r="B45" s="12" t="s">
        <v>58</v>
      </c>
      <c r="C45" s="13" t="s">
        <v>59</v>
      </c>
      <c r="D45" s="13" t="s">
        <v>54</v>
      </c>
      <c r="E45" s="42" t="s">
        <v>122</v>
      </c>
      <c r="F45" s="36" t="n">
        <v>4920</v>
      </c>
      <c r="G45" s="37" t="n">
        <v>55.3</v>
      </c>
      <c r="H45" s="37" t="n">
        <v>193.7</v>
      </c>
      <c r="I45" s="37" t="n">
        <v>148.6</v>
      </c>
      <c r="J45" s="37" t="n">
        <v>5.8</v>
      </c>
      <c r="K45" s="38" t="n">
        <v>34</v>
      </c>
      <c r="L45" s="2" t="s">
        <v>146</v>
      </c>
    </row>
    <row r="46" customFormat="false" ht="15.75" hidden="false" customHeight="true" outlineLevel="0" collapsed="false">
      <c r="A46" s="13" t="s">
        <v>39</v>
      </c>
      <c r="B46" s="12" t="s">
        <v>60</v>
      </c>
      <c r="C46" s="13" t="s">
        <v>61</v>
      </c>
      <c r="D46" s="13" t="s">
        <v>54</v>
      </c>
      <c r="E46" s="39" t="s">
        <v>114</v>
      </c>
      <c r="F46" s="40" t="n">
        <v>7217</v>
      </c>
      <c r="G46" s="41"/>
      <c r="H46" s="41"/>
      <c r="I46" s="41"/>
      <c r="J46" s="41"/>
      <c r="K46" s="41"/>
      <c r="L46" s="2" t="s">
        <v>147</v>
      </c>
    </row>
    <row r="47" customFormat="false" ht="15.75" hidden="false" customHeight="true" outlineLevel="0" collapsed="false">
      <c r="A47" s="13" t="s">
        <v>39</v>
      </c>
      <c r="B47" s="12" t="s">
        <v>62</v>
      </c>
      <c r="C47" s="13" t="s">
        <v>63</v>
      </c>
      <c r="D47" s="16" t="s">
        <v>57</v>
      </c>
      <c r="E47" s="39" t="s">
        <v>114</v>
      </c>
      <c r="F47" s="40" t="n">
        <v>10757</v>
      </c>
      <c r="G47" s="41"/>
      <c r="H47" s="41"/>
      <c r="I47" s="41"/>
      <c r="J47" s="41"/>
      <c r="K47" s="41"/>
      <c r="L47" s="2" t="s">
        <v>148</v>
      </c>
    </row>
    <row r="48" customFormat="false" ht="15.75" hidden="false" customHeight="true" outlineLevel="0" collapsed="false">
      <c r="A48" s="13" t="s">
        <v>39</v>
      </c>
      <c r="B48" s="12" t="s">
        <v>64</v>
      </c>
      <c r="C48" s="13" t="s">
        <v>65</v>
      </c>
      <c r="D48" s="16" t="s">
        <v>57</v>
      </c>
      <c r="E48" s="42" t="s">
        <v>122</v>
      </c>
      <c r="F48" s="36" t="n">
        <v>10412</v>
      </c>
      <c r="G48" s="37" t="n">
        <v>117</v>
      </c>
      <c r="H48" s="41"/>
      <c r="I48" s="37" t="n">
        <v>142.6</v>
      </c>
      <c r="J48" s="41"/>
      <c r="K48" s="38" t="n">
        <v>28</v>
      </c>
      <c r="L48" s="2" t="s">
        <v>145</v>
      </c>
    </row>
    <row r="49" customFormat="false" ht="15.75" hidden="false" customHeight="true" outlineLevel="0" collapsed="false">
      <c r="A49" s="13" t="s">
        <v>39</v>
      </c>
      <c r="B49" s="12" t="s">
        <v>66</v>
      </c>
      <c r="C49" s="13" t="s">
        <v>67</v>
      </c>
      <c r="D49" s="16" t="s">
        <v>57</v>
      </c>
      <c r="E49" s="39" t="s">
        <v>114</v>
      </c>
      <c r="F49" s="40" t="n">
        <v>14066</v>
      </c>
      <c r="G49" s="41"/>
      <c r="H49" s="41"/>
      <c r="I49" s="41"/>
      <c r="J49" s="41"/>
      <c r="K49" s="41"/>
      <c r="L49" s="2" t="s">
        <v>149</v>
      </c>
    </row>
    <row r="50" customFormat="false" ht="15.75" hidden="false" customHeight="true" outlineLevel="0" collapsed="false">
      <c r="A50" s="13" t="s">
        <v>39</v>
      </c>
      <c r="B50" s="12" t="s">
        <v>68</v>
      </c>
      <c r="C50" s="13" t="s">
        <v>69</v>
      </c>
      <c r="D50" s="13" t="s">
        <v>54</v>
      </c>
      <c r="E50" s="39" t="s">
        <v>114</v>
      </c>
      <c r="F50" s="40" t="n">
        <v>11632</v>
      </c>
      <c r="G50" s="41"/>
      <c r="H50" s="41"/>
      <c r="I50" s="41"/>
      <c r="J50" s="41"/>
      <c r="K50" s="41"/>
      <c r="L50" s="2" t="s">
        <v>150</v>
      </c>
    </row>
    <row r="51" customFormat="false" ht="15.75" hidden="false" customHeight="true" outlineLevel="0" collapsed="false">
      <c r="A51" s="13" t="s">
        <v>39</v>
      </c>
      <c r="B51" s="12" t="s">
        <v>70</v>
      </c>
      <c r="C51" s="13" t="s">
        <v>71</v>
      </c>
      <c r="D51" s="16" t="s">
        <v>57</v>
      </c>
      <c r="E51" s="39" t="s">
        <v>114</v>
      </c>
      <c r="F51" s="40" t="n">
        <v>6700</v>
      </c>
      <c r="G51" s="41"/>
      <c r="H51" s="41"/>
      <c r="I51" s="41"/>
      <c r="J51" s="41"/>
      <c r="K51" s="41"/>
      <c r="L51" s="2" t="s">
        <v>151</v>
      </c>
    </row>
    <row r="52" customFormat="false" ht="15.75" hidden="false" customHeight="true" outlineLevel="0" collapsed="false">
      <c r="A52" s="13" t="s">
        <v>39</v>
      </c>
      <c r="B52" s="12" t="s">
        <v>72</v>
      </c>
      <c r="C52" s="13" t="s">
        <v>73</v>
      </c>
      <c r="D52" s="13" t="s">
        <v>54</v>
      </c>
      <c r="E52" s="39" t="s">
        <v>114</v>
      </c>
      <c r="F52" s="40" t="n">
        <v>9670</v>
      </c>
      <c r="G52" s="41"/>
      <c r="H52" s="41"/>
      <c r="I52" s="41"/>
      <c r="J52" s="41"/>
      <c r="K52" s="41"/>
      <c r="L52" s="2" t="s">
        <v>152</v>
      </c>
    </row>
    <row r="53" customFormat="false" ht="15.75" hidden="false" customHeight="true" outlineLevel="0" collapsed="false">
      <c r="A53" s="13" t="s">
        <v>39</v>
      </c>
      <c r="B53" s="12" t="s">
        <v>74</v>
      </c>
      <c r="C53" s="13" t="s">
        <v>75</v>
      </c>
      <c r="D53" s="13" t="s">
        <v>54</v>
      </c>
      <c r="E53" s="42" t="s">
        <v>122</v>
      </c>
      <c r="F53" s="36" t="n">
        <v>11394</v>
      </c>
      <c r="G53" s="37" t="n">
        <v>128</v>
      </c>
      <c r="H53" s="37" t="n">
        <v>164.1</v>
      </c>
      <c r="I53" s="37" t="n">
        <v>141.7</v>
      </c>
      <c r="J53" s="37" t="n">
        <v>2.6</v>
      </c>
      <c r="K53" s="38" t="n">
        <v>27</v>
      </c>
      <c r="L53" s="2" t="s">
        <v>153</v>
      </c>
    </row>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4" min="2" style="0" width="30"/>
    <col collapsed="false" customWidth="true" hidden="false" outlineLevel="0" max="5" min="5" style="0" width="18"/>
    <col collapsed="false" customWidth="true" hidden="false" outlineLevel="0" max="6" min="6" style="0" width="62"/>
    <col collapsed="false" customWidth="true" hidden="false" outlineLevel="0" max="26" min="7" style="0" width="8.71"/>
  </cols>
  <sheetData>
    <row r="1" customFormat="false" ht="15" hidden="false" customHeight="false" outlineLevel="0" collapsed="false">
      <c r="A1" s="1" t="s">
        <v>154</v>
      </c>
    </row>
    <row r="2" customFormat="false" ht="15" hidden="false" customHeight="false" outlineLevel="0" collapsed="false">
      <c r="A2" s="2" t="s">
        <v>155</v>
      </c>
    </row>
    <row r="4" customFormat="false" ht="30" hidden="false" customHeight="true" outlineLevel="0" collapsed="false">
      <c r="A4" s="7" t="s">
        <v>156</v>
      </c>
      <c r="B4" s="7" t="s">
        <v>157</v>
      </c>
      <c r="C4" s="7" t="s">
        <v>158</v>
      </c>
      <c r="D4" s="7" t="s">
        <v>159</v>
      </c>
      <c r="E4" s="7" t="s">
        <v>160</v>
      </c>
      <c r="F4" s="7" t="s">
        <v>161</v>
      </c>
    </row>
    <row r="5" customFormat="false" ht="45.75" hidden="false" customHeight="true" outlineLevel="0" collapsed="false">
      <c r="A5" s="12" t="s">
        <v>162</v>
      </c>
      <c r="B5" s="43" t="s">
        <v>163</v>
      </c>
      <c r="C5" s="43" t="s">
        <v>164</v>
      </c>
      <c r="D5" s="43" t="s">
        <v>165</v>
      </c>
      <c r="E5" s="43" t="s">
        <v>166</v>
      </c>
      <c r="F5" s="10" t="s">
        <v>167</v>
      </c>
    </row>
    <row r="6" customFormat="false" ht="45.75" hidden="false" customHeight="true" outlineLevel="0" collapsed="false">
      <c r="A6" s="12" t="s">
        <v>168</v>
      </c>
      <c r="B6" s="43" t="s">
        <v>169</v>
      </c>
      <c r="C6" s="43" t="s">
        <v>170</v>
      </c>
      <c r="D6" s="43" t="s">
        <v>171</v>
      </c>
      <c r="E6" s="43" t="s">
        <v>172</v>
      </c>
      <c r="F6" s="10" t="s">
        <v>173</v>
      </c>
    </row>
    <row r="7" customFormat="false" ht="45.75" hidden="false" customHeight="true" outlineLevel="0" collapsed="false">
      <c r="A7" s="12" t="s">
        <v>174</v>
      </c>
      <c r="B7" s="43" t="s">
        <v>175</v>
      </c>
      <c r="C7" s="43" t="s">
        <v>176</v>
      </c>
      <c r="D7" s="43" t="s">
        <v>177</v>
      </c>
      <c r="E7" s="43" t="s">
        <v>178</v>
      </c>
      <c r="F7" s="10" t="s">
        <v>179</v>
      </c>
    </row>
    <row r="8" customFormat="false" ht="45.75" hidden="false" customHeight="true" outlineLevel="0" collapsed="false">
      <c r="A8" s="12" t="s">
        <v>180</v>
      </c>
      <c r="B8" s="43" t="s">
        <v>181</v>
      </c>
      <c r="C8" s="43" t="s">
        <v>182</v>
      </c>
      <c r="D8" s="43" t="s">
        <v>183</v>
      </c>
      <c r="E8" s="43" t="s">
        <v>184</v>
      </c>
      <c r="F8" s="10" t="s">
        <v>185</v>
      </c>
    </row>
    <row r="9" customFormat="false" ht="45.75" hidden="false" customHeight="true" outlineLevel="0" collapsed="false">
      <c r="A9" s="12" t="s">
        <v>186</v>
      </c>
      <c r="B9" s="43" t="s">
        <v>187</v>
      </c>
      <c r="C9" s="43" t="s">
        <v>188</v>
      </c>
      <c r="D9" s="43" t="s">
        <v>189</v>
      </c>
      <c r="E9" s="43" t="s">
        <v>190</v>
      </c>
      <c r="F9" s="10" t="s">
        <v>191</v>
      </c>
    </row>
    <row r="10" customFormat="false" ht="45.75" hidden="false" customHeight="true" outlineLevel="0" collapsed="false">
      <c r="A10" s="12" t="s">
        <v>192</v>
      </c>
      <c r="B10" s="43" t="s">
        <v>193</v>
      </c>
      <c r="C10" s="43" t="s">
        <v>194</v>
      </c>
      <c r="D10" s="43" t="s">
        <v>195</v>
      </c>
      <c r="E10" s="43" t="s">
        <v>196</v>
      </c>
      <c r="F10" s="10" t="s">
        <v>197</v>
      </c>
    </row>
    <row r="11" customFormat="false" ht="45.75" hidden="false" customHeight="true" outlineLevel="0" collapsed="false">
      <c r="A11" s="12" t="s">
        <v>198</v>
      </c>
      <c r="B11" s="43" t="s">
        <v>199</v>
      </c>
      <c r="C11" s="43" t="s">
        <v>200</v>
      </c>
      <c r="D11" s="43" t="s">
        <v>201</v>
      </c>
      <c r="E11" s="43" t="s">
        <v>202</v>
      </c>
      <c r="F11" s="10" t="s">
        <v>203</v>
      </c>
    </row>
    <row r="12" customFormat="false" ht="45.75" hidden="false" customHeight="true" outlineLevel="0" collapsed="false">
      <c r="A12" s="12" t="s">
        <v>204</v>
      </c>
      <c r="B12" s="43" t="s">
        <v>205</v>
      </c>
      <c r="C12" s="43" t="s">
        <v>206</v>
      </c>
      <c r="D12" s="43" t="s">
        <v>207</v>
      </c>
      <c r="E12" s="43" t="s">
        <v>208</v>
      </c>
      <c r="F12" s="10" t="s">
        <v>209</v>
      </c>
    </row>
    <row r="14" customFormat="false" ht="15" hidden="false" customHeight="false" outlineLevel="0" collapsed="false">
      <c r="A14" s="3" t="s">
        <v>210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Len Berman</cp:lastModifiedBy>
  <dcterms:modified xsi:type="dcterms:W3CDTF">2026-08-02T17:06:08Z</dcterms:modified>
  <cp:revision>2</cp:revision>
  <dc:subject/>
  <dc:title/>
</cp:coreProperties>
</file>